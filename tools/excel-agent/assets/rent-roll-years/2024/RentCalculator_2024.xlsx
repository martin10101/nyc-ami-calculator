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Z:\Inclusionary Housing\"/>
    </mc:Choice>
  </mc:AlternateContent>
  <xr:revisionPtr revIDLastSave="0" documentId="13_ncr:1_{D9DE7CEA-6BE5-4627-A063-D37BF42B039E}" xr6:coauthVersionLast="47" xr6:coauthVersionMax="47" xr10:uidLastSave="{00000000-0000-0000-0000-000000000000}"/>
  <workbookProtection workbookAlgorithmName="SHA-512" workbookHashValue="r1SH+tJoso/sW9jY3+ajYlTJymLxe6r5CKN2j4h3ZbH2fcPTzwm38qpTcZPxxdhBH21BGabh8Zs8nnGeSypM3w==" workbookSaltValue="mFbnzhwJztQrSzhkLLbNFg==" workbookSpinCount="100000" lockStructure="1"/>
  <bookViews>
    <workbookView xWindow="28680" yWindow="-120" windowWidth="29040" windowHeight="15720" xr2:uid="{00000000-000D-0000-FFFF-FFFF00000000}"/>
  </bookViews>
  <sheets>
    <sheet name="AMI &amp; Rent" sheetId="1" r:id="rId1"/>
    <sheet name="AMI_Table" sheetId="5" state="hidden" r:id="rId2"/>
    <sheet name="Feeder Tables" sheetId="3" state="hidden" r:id="rId3"/>
    <sheet name="AMI Table" sheetId="2" state="hidden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hidden="1">#REF!</definedName>
    <definedName name="_xlnm.Print_Area" localSheetId="0">'AMI &amp; Rent'!$R$9</definedName>
    <definedName name="_xlnm.Print_Area" localSheetId="3">'AMI Table'!$A$1:$I$30</definedName>
    <definedName name="_xlnm.Print_Area" localSheetId="1">AMI_Table!$A$1:$I$30</definedName>
    <definedName name="ProjectType" localSheetId="1">[1]Sheet1!$A$1:$A$2</definedName>
    <definedName name="ProjectType">'Feeder Tables'!$A$1:$A$2</definedName>
    <definedName name="solver_adj" localSheetId="0" hidden="1">'AMI &amp; Rent'!#REF!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in" localSheetId="0" hidden="1">2</definedName>
    <definedName name="solver_neg" localSheetId="0" hidden="1">2</definedName>
    <definedName name="solver_num" localSheetId="0" hidden="1">0</definedName>
    <definedName name="solver_nwt" localSheetId="0" hidden="1">1</definedName>
    <definedName name="solver_opt" localSheetId="0" hidden="1">'AMI &amp; Rent'!#REF!</definedName>
    <definedName name="solver_pre" localSheetId="0" hidden="1">0.000001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3</definedName>
    <definedName name="solver_val" localSheetId="0" hidden="1">21520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2" i="1" l="1"/>
  <c r="B21" i="1"/>
  <c r="B20" i="1"/>
  <c r="B19" i="1"/>
  <c r="B18" i="1"/>
  <c r="B17" i="1"/>
  <c r="E175" i="1"/>
  <c r="E162" i="1"/>
  <c r="E149" i="1"/>
  <c r="E136" i="1"/>
  <c r="E123" i="1"/>
  <c r="E110" i="1"/>
  <c r="E97" i="1"/>
  <c r="E84" i="1"/>
  <c r="E71" i="1"/>
  <c r="E58" i="1"/>
  <c r="E45" i="1"/>
  <c r="E32" i="1"/>
  <c r="L38" i="1"/>
  <c r="L64" i="1"/>
  <c r="L159" i="1"/>
  <c r="E159" i="1"/>
  <c r="L158" i="1"/>
  <c r="J158" i="1"/>
  <c r="J157" i="1" s="1"/>
  <c r="J156" i="1" s="1"/>
  <c r="J155" i="1" s="1"/>
  <c r="J154" i="1" s="1"/>
  <c r="J153" i="1" s="1"/>
  <c r="J152" i="1" s="1"/>
  <c r="L157" i="1"/>
  <c r="F158" i="1" s="1"/>
  <c r="G158" i="1" s="1"/>
  <c r="H158" i="1" s="1"/>
  <c r="L156" i="1"/>
  <c r="L155" i="1"/>
  <c r="L154" i="1"/>
  <c r="F156" i="1" s="1"/>
  <c r="G156" i="1" s="1"/>
  <c r="H156" i="1" s="1"/>
  <c r="F154" i="1"/>
  <c r="G154" i="1" s="1"/>
  <c r="H154" i="1" s="1"/>
  <c r="L153" i="1"/>
  <c r="K153" i="1"/>
  <c r="K154" i="1" s="1"/>
  <c r="K155" i="1" s="1"/>
  <c r="L152" i="1"/>
  <c r="L133" i="1"/>
  <c r="E133" i="1"/>
  <c r="L132" i="1"/>
  <c r="F133" i="1" s="1"/>
  <c r="G133" i="1" s="1"/>
  <c r="H133" i="1" s="1"/>
  <c r="J132" i="1"/>
  <c r="L131" i="1"/>
  <c r="F132" i="1" s="1"/>
  <c r="G132" i="1" s="1"/>
  <c r="J131" i="1"/>
  <c r="J130" i="1" s="1"/>
  <c r="J129" i="1" s="1"/>
  <c r="J128" i="1" s="1"/>
  <c r="J127" i="1" s="1"/>
  <c r="J126" i="1" s="1"/>
  <c r="L130" i="1"/>
  <c r="L129" i="1"/>
  <c r="L128" i="1"/>
  <c r="F130" i="1" s="1"/>
  <c r="G130" i="1" s="1"/>
  <c r="F128" i="1"/>
  <c r="G128" i="1" s="1"/>
  <c r="L127" i="1"/>
  <c r="F129" i="1" s="1"/>
  <c r="G129" i="1" s="1"/>
  <c r="K127" i="1"/>
  <c r="K128" i="1" s="1"/>
  <c r="K129" i="1" s="1"/>
  <c r="L126" i="1"/>
  <c r="L120" i="1"/>
  <c r="E120" i="1"/>
  <c r="L119" i="1"/>
  <c r="J119" i="1"/>
  <c r="J118" i="1" s="1"/>
  <c r="J117" i="1" s="1"/>
  <c r="J116" i="1" s="1"/>
  <c r="J115" i="1" s="1"/>
  <c r="J114" i="1" s="1"/>
  <c r="J113" i="1" s="1"/>
  <c r="L118" i="1"/>
  <c r="F119" i="1" s="1"/>
  <c r="G119" i="1" s="1"/>
  <c r="H119" i="1" s="1"/>
  <c r="L117" i="1"/>
  <c r="L116" i="1"/>
  <c r="L115" i="1"/>
  <c r="F117" i="1" s="1"/>
  <c r="G117" i="1" s="1"/>
  <c r="H117" i="1" s="1"/>
  <c r="F115" i="1"/>
  <c r="G115" i="1" s="1"/>
  <c r="H115" i="1" s="1"/>
  <c r="L114" i="1"/>
  <c r="K114" i="1"/>
  <c r="K115" i="1" s="1"/>
  <c r="K116" i="1" s="1"/>
  <c r="L113" i="1"/>
  <c r="F180" i="1"/>
  <c r="F167" i="1"/>
  <c r="F141" i="1"/>
  <c r="F102" i="1"/>
  <c r="F89" i="1"/>
  <c r="F76" i="1"/>
  <c r="L185" i="1"/>
  <c r="L184" i="1"/>
  <c r="L183" i="1"/>
  <c r="F184" i="1" s="1"/>
  <c r="L182" i="1"/>
  <c r="L181" i="1"/>
  <c r="L180" i="1"/>
  <c r="F182" i="1" s="1"/>
  <c r="L179" i="1"/>
  <c r="L178" i="1"/>
  <c r="L172" i="1"/>
  <c r="L171" i="1"/>
  <c r="L170" i="1"/>
  <c r="F171" i="1" s="1"/>
  <c r="L169" i="1"/>
  <c r="L168" i="1"/>
  <c r="L167" i="1"/>
  <c r="F169" i="1" s="1"/>
  <c r="L166" i="1"/>
  <c r="L165" i="1"/>
  <c r="L146" i="1"/>
  <c r="L145" i="1"/>
  <c r="L144" i="1"/>
  <c r="F145" i="1" s="1"/>
  <c r="L143" i="1"/>
  <c r="L142" i="1"/>
  <c r="L141" i="1"/>
  <c r="F143" i="1" s="1"/>
  <c r="L140" i="1"/>
  <c r="L139" i="1"/>
  <c r="L107" i="1"/>
  <c r="L106" i="1"/>
  <c r="L105" i="1"/>
  <c r="F106" i="1" s="1"/>
  <c r="L104" i="1"/>
  <c r="L103" i="1"/>
  <c r="L102" i="1"/>
  <c r="F104" i="1" s="1"/>
  <c r="L101" i="1"/>
  <c r="L100" i="1"/>
  <c r="L94" i="1"/>
  <c r="L93" i="1"/>
  <c r="L92" i="1"/>
  <c r="F93" i="1" s="1"/>
  <c r="L91" i="1"/>
  <c r="L90" i="1"/>
  <c r="L89" i="1"/>
  <c r="F91" i="1" s="1"/>
  <c r="L88" i="1"/>
  <c r="L87" i="1"/>
  <c r="L81" i="1"/>
  <c r="L80" i="1"/>
  <c r="L79" i="1"/>
  <c r="F80" i="1" s="1"/>
  <c r="L78" i="1"/>
  <c r="L77" i="1"/>
  <c r="F79" i="1" s="1"/>
  <c r="L76" i="1"/>
  <c r="F78" i="1" s="1"/>
  <c r="L75" i="1"/>
  <c r="L74" i="1"/>
  <c r="L68" i="1"/>
  <c r="L67" i="1"/>
  <c r="L66" i="1"/>
  <c r="F67" i="1" s="1"/>
  <c r="L65" i="1"/>
  <c r="L63" i="1"/>
  <c r="F65" i="1" s="1"/>
  <c r="L62" i="1"/>
  <c r="L61" i="1"/>
  <c r="F63" i="1"/>
  <c r="F50" i="1"/>
  <c r="F37" i="1"/>
  <c r="L55" i="1"/>
  <c r="L54" i="1"/>
  <c r="L53" i="1"/>
  <c r="F54" i="1" s="1"/>
  <c r="L52" i="1"/>
  <c r="L51" i="1"/>
  <c r="L50" i="1"/>
  <c r="F52" i="1" s="1"/>
  <c r="L49" i="1"/>
  <c r="L48" i="1"/>
  <c r="L42" i="1"/>
  <c r="L41" i="1"/>
  <c r="L40" i="1"/>
  <c r="F41" i="1" s="1"/>
  <c r="L39" i="1"/>
  <c r="L37" i="1"/>
  <c r="F39" i="1" s="1"/>
  <c r="L36" i="1"/>
  <c r="L35" i="1"/>
  <c r="I28" i="5"/>
  <c r="H28" i="5"/>
  <c r="G28" i="5"/>
  <c r="F28" i="5"/>
  <c r="E28" i="5"/>
  <c r="D28" i="5"/>
  <c r="C28" i="5"/>
  <c r="B28" i="5"/>
  <c r="I27" i="5"/>
  <c r="H27" i="5"/>
  <c r="G27" i="5"/>
  <c r="F27" i="5"/>
  <c r="E27" i="5"/>
  <c r="D27" i="5"/>
  <c r="C27" i="5"/>
  <c r="B27" i="5"/>
  <c r="I26" i="5"/>
  <c r="H26" i="5"/>
  <c r="G26" i="5"/>
  <c r="F26" i="5"/>
  <c r="E26" i="5"/>
  <c r="D26" i="5"/>
  <c r="C26" i="5"/>
  <c r="B26" i="5"/>
  <c r="I25" i="5"/>
  <c r="H25" i="5"/>
  <c r="G25" i="5"/>
  <c r="F25" i="5"/>
  <c r="E25" i="5"/>
  <c r="D25" i="5"/>
  <c r="C25" i="5"/>
  <c r="B25" i="5"/>
  <c r="I24" i="5"/>
  <c r="H24" i="5"/>
  <c r="G24" i="5"/>
  <c r="F24" i="5"/>
  <c r="E24" i="5"/>
  <c r="D24" i="5"/>
  <c r="C24" i="5"/>
  <c r="B24" i="5"/>
  <c r="I23" i="5"/>
  <c r="H23" i="5"/>
  <c r="G23" i="5"/>
  <c r="F23" i="5"/>
  <c r="E23" i="5"/>
  <c r="D23" i="5"/>
  <c r="C23" i="5"/>
  <c r="B23" i="5"/>
  <c r="I22" i="5"/>
  <c r="H22" i="5"/>
  <c r="G22" i="5"/>
  <c r="F22" i="5"/>
  <c r="E22" i="5"/>
  <c r="D22" i="5"/>
  <c r="C22" i="5"/>
  <c r="B22" i="5"/>
  <c r="I21" i="5"/>
  <c r="H21" i="5"/>
  <c r="G21" i="5"/>
  <c r="F21" i="5"/>
  <c r="E21" i="5"/>
  <c r="D21" i="5"/>
  <c r="C21" i="5"/>
  <c r="B21" i="5"/>
  <c r="I20" i="5"/>
  <c r="H20" i="5"/>
  <c r="G20" i="5"/>
  <c r="F20" i="5"/>
  <c r="E20" i="5"/>
  <c r="D20" i="5"/>
  <c r="C20" i="5"/>
  <c r="B20" i="5"/>
  <c r="I19" i="5"/>
  <c r="H19" i="5"/>
  <c r="G19" i="5"/>
  <c r="F19" i="5"/>
  <c r="E19" i="5"/>
  <c r="D19" i="5"/>
  <c r="C19" i="5"/>
  <c r="B19" i="5"/>
  <c r="I18" i="5"/>
  <c r="H18" i="5"/>
  <c r="G18" i="5"/>
  <c r="F18" i="5"/>
  <c r="E18" i="5"/>
  <c r="D18" i="5"/>
  <c r="C18" i="5"/>
  <c r="B18" i="5"/>
  <c r="I17" i="5"/>
  <c r="H17" i="5"/>
  <c r="G17" i="5"/>
  <c r="F17" i="5"/>
  <c r="E17" i="5"/>
  <c r="D17" i="5"/>
  <c r="C17" i="5"/>
  <c r="B17" i="5"/>
  <c r="I16" i="5"/>
  <c r="H16" i="5"/>
  <c r="G16" i="5"/>
  <c r="F16" i="5"/>
  <c r="E16" i="5"/>
  <c r="D16" i="5"/>
  <c r="C16" i="5"/>
  <c r="B16" i="5"/>
  <c r="I15" i="5"/>
  <c r="H15" i="5"/>
  <c r="G15" i="5"/>
  <c r="F15" i="5"/>
  <c r="E15" i="5"/>
  <c r="D15" i="5"/>
  <c r="C15" i="5"/>
  <c r="B15" i="5"/>
  <c r="I14" i="5"/>
  <c r="H14" i="5"/>
  <c r="G14" i="5"/>
  <c r="F14" i="5"/>
  <c r="E14" i="5"/>
  <c r="D14" i="5"/>
  <c r="C14" i="5"/>
  <c r="B14" i="5"/>
  <c r="I13" i="5"/>
  <c r="H13" i="5"/>
  <c r="G13" i="5"/>
  <c r="F13" i="5"/>
  <c r="E13" i="5"/>
  <c r="D13" i="5"/>
  <c r="C13" i="5"/>
  <c r="B13" i="5"/>
  <c r="I12" i="5"/>
  <c r="H12" i="5"/>
  <c r="G12" i="5"/>
  <c r="F12" i="5"/>
  <c r="E12" i="5"/>
  <c r="D12" i="5"/>
  <c r="C12" i="5"/>
  <c r="B12" i="5"/>
  <c r="I11" i="5"/>
  <c r="H11" i="5"/>
  <c r="G11" i="5"/>
  <c r="F11" i="5"/>
  <c r="E11" i="5"/>
  <c r="D11" i="5"/>
  <c r="C11" i="5"/>
  <c r="B11" i="5"/>
  <c r="I10" i="5"/>
  <c r="H10" i="5"/>
  <c r="G10" i="5"/>
  <c r="F10" i="5"/>
  <c r="E10" i="5"/>
  <c r="D10" i="5"/>
  <c r="C10" i="5"/>
  <c r="B10" i="5"/>
  <c r="I9" i="5"/>
  <c r="H9" i="5"/>
  <c r="G9" i="5"/>
  <c r="F9" i="5"/>
  <c r="E9" i="5"/>
  <c r="D9" i="5"/>
  <c r="C9" i="5"/>
  <c r="B9" i="5"/>
  <c r="I7" i="5"/>
  <c r="H7" i="5"/>
  <c r="G7" i="5"/>
  <c r="F7" i="5"/>
  <c r="E7" i="5"/>
  <c r="D7" i="5"/>
  <c r="C7" i="5"/>
  <c r="B7" i="5"/>
  <c r="I6" i="5"/>
  <c r="H6" i="5"/>
  <c r="G6" i="5"/>
  <c r="F6" i="5"/>
  <c r="E6" i="5"/>
  <c r="D6" i="5"/>
  <c r="C6" i="5"/>
  <c r="B6" i="5"/>
  <c r="I5" i="5"/>
  <c r="H5" i="5"/>
  <c r="G5" i="5"/>
  <c r="F5" i="5"/>
  <c r="E5" i="5"/>
  <c r="D5" i="5"/>
  <c r="C5" i="5"/>
  <c r="B5" i="5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I4" i="5"/>
  <c r="H4" i="5"/>
  <c r="G4" i="5"/>
  <c r="F4" i="5"/>
  <c r="E4" i="5"/>
  <c r="D4" i="5"/>
  <c r="C4" i="5"/>
  <c r="B4" i="5"/>
  <c r="C3" i="5"/>
  <c r="D3" i="5" s="1"/>
  <c r="C2" i="5"/>
  <c r="B2" i="5"/>
  <c r="A1" i="5"/>
  <c r="F144" i="1" l="1"/>
  <c r="F131" i="1"/>
  <c r="G131" i="1" s="1"/>
  <c r="F157" i="1"/>
  <c r="G157" i="1" s="1"/>
  <c r="H157" i="1" s="1"/>
  <c r="F159" i="1"/>
  <c r="G159" i="1" s="1"/>
  <c r="H159" i="1" s="1"/>
  <c r="F155" i="1"/>
  <c r="G155" i="1" s="1"/>
  <c r="H155" i="1" s="1"/>
  <c r="K156" i="1"/>
  <c r="K157" i="1" s="1"/>
  <c r="K158" i="1" s="1"/>
  <c r="K159" i="1" s="1"/>
  <c r="K130" i="1"/>
  <c r="K131" i="1" s="1"/>
  <c r="K132" i="1" s="1"/>
  <c r="K133" i="1" s="1"/>
  <c r="F118" i="1"/>
  <c r="G118" i="1" s="1"/>
  <c r="H118" i="1" s="1"/>
  <c r="F120" i="1"/>
  <c r="G120" i="1" s="1"/>
  <c r="H120" i="1" s="1"/>
  <c r="F116" i="1"/>
  <c r="G116" i="1" s="1"/>
  <c r="H116" i="1" s="1"/>
  <c r="F105" i="1"/>
  <c r="K117" i="1"/>
  <c r="K118" i="1" s="1"/>
  <c r="K119" i="1" s="1"/>
  <c r="K120" i="1" s="1"/>
  <c r="F53" i="1"/>
  <c r="F90" i="1"/>
  <c r="F172" i="1"/>
  <c r="F77" i="1"/>
  <c r="F81" i="1"/>
  <c r="F142" i="1"/>
  <c r="F146" i="1"/>
  <c r="F51" i="1"/>
  <c r="F66" i="1"/>
  <c r="F94" i="1"/>
  <c r="F168" i="1"/>
  <c r="F183" i="1"/>
  <c r="F64" i="1"/>
  <c r="F68" i="1"/>
  <c r="F103" i="1"/>
  <c r="F107" i="1"/>
  <c r="F181" i="1"/>
  <c r="F185" i="1"/>
  <c r="F55" i="1"/>
  <c r="F92" i="1"/>
  <c r="F170" i="1"/>
  <c r="F40" i="1"/>
  <c r="F38" i="1"/>
  <c r="E3" i="5"/>
  <c r="D2" i="5"/>
  <c r="F3" i="5" l="1"/>
  <c r="E2" i="5"/>
  <c r="F2" i="5" l="1"/>
  <c r="G3" i="5"/>
  <c r="H3" i="5" l="1"/>
  <c r="G2" i="5"/>
  <c r="G104" i="1"/>
  <c r="G102" i="1"/>
  <c r="G106" i="1"/>
  <c r="G103" i="1"/>
  <c r="M22" i="1"/>
  <c r="M21" i="1"/>
  <c r="M20" i="1"/>
  <c r="M19" i="1"/>
  <c r="M18" i="1"/>
  <c r="M17" i="1"/>
  <c r="G22" i="1"/>
  <c r="G21" i="1"/>
  <c r="G20" i="1"/>
  <c r="G19" i="1"/>
  <c r="G18" i="1"/>
  <c r="G17" i="1"/>
  <c r="L22" i="1"/>
  <c r="L21" i="1"/>
  <c r="L20" i="1"/>
  <c r="L19" i="1"/>
  <c r="L18" i="1"/>
  <c r="L17" i="1"/>
  <c r="H22" i="1"/>
  <c r="H21" i="1"/>
  <c r="H20" i="1"/>
  <c r="H19" i="1"/>
  <c r="H18" i="1"/>
  <c r="H17" i="1"/>
  <c r="D22" i="1"/>
  <c r="D21" i="1"/>
  <c r="D20" i="1"/>
  <c r="D19" i="1"/>
  <c r="D18" i="1"/>
  <c r="D17" i="1"/>
  <c r="F22" i="1"/>
  <c r="F21" i="1"/>
  <c r="F20" i="1"/>
  <c r="F19" i="1"/>
  <c r="F18" i="1"/>
  <c r="F17" i="1"/>
  <c r="K22" i="1"/>
  <c r="K21" i="1"/>
  <c r="K20" i="1"/>
  <c r="K19" i="1"/>
  <c r="K18" i="1"/>
  <c r="K17" i="1"/>
  <c r="J22" i="1"/>
  <c r="J21" i="1"/>
  <c r="J20" i="1"/>
  <c r="J19" i="1"/>
  <c r="J18" i="1"/>
  <c r="J17" i="1"/>
  <c r="E22" i="1"/>
  <c r="E21" i="1"/>
  <c r="E20" i="1"/>
  <c r="E19" i="1"/>
  <c r="E17" i="1"/>
  <c r="C17" i="1"/>
  <c r="H2" i="5" l="1"/>
  <c r="I3" i="5"/>
  <c r="I2" i="5" s="1"/>
  <c r="E18" i="1"/>
  <c r="C22" i="1"/>
  <c r="C21" i="1"/>
  <c r="C20" i="1"/>
  <c r="C19" i="1"/>
  <c r="C18" i="1"/>
  <c r="G90" i="1" l="1"/>
  <c r="G91" i="1"/>
  <c r="G93" i="1"/>
  <c r="G89" i="1"/>
  <c r="K88" i="1"/>
  <c r="K89" i="1"/>
  <c r="E94" i="1"/>
  <c r="J93" i="1"/>
  <c r="J92" i="1" s="1"/>
  <c r="J91" i="1" s="1"/>
  <c r="J90" i="1" s="1"/>
  <c r="J89" i="1" s="1"/>
  <c r="J88" i="1" s="1"/>
  <c r="J87" i="1" s="1"/>
  <c r="K179" i="1"/>
  <c r="G182" i="1"/>
  <c r="G184" i="1"/>
  <c r="G180" i="1"/>
  <c r="K166" i="1"/>
  <c r="K167" i="1" s="1"/>
  <c r="K168" i="1" s="1"/>
  <c r="G169" i="1"/>
  <c r="G171" i="1"/>
  <c r="G167" i="1"/>
  <c r="K140" i="1"/>
  <c r="G143" i="1"/>
  <c r="G145" i="1"/>
  <c r="G141" i="1"/>
  <c r="K101" i="1"/>
  <c r="K102" i="1" s="1"/>
  <c r="K103" i="1" s="1"/>
  <c r="K104" i="1" s="1"/>
  <c r="K75" i="1"/>
  <c r="G78" i="1"/>
  <c r="K76" i="1"/>
  <c r="K77" i="1" s="1"/>
  <c r="G80" i="1"/>
  <c r="G76" i="1"/>
  <c r="K62" i="1"/>
  <c r="G64" i="1" s="1"/>
  <c r="G65" i="1"/>
  <c r="G67" i="1"/>
  <c r="G63" i="1"/>
  <c r="K49" i="1"/>
  <c r="K50" i="1" s="1"/>
  <c r="K51" i="1" s="1"/>
  <c r="G51" i="1"/>
  <c r="G52" i="1"/>
  <c r="G54" i="1"/>
  <c r="G50" i="1"/>
  <c r="K36" i="1"/>
  <c r="K37" i="1" s="1"/>
  <c r="K38" i="1" s="1"/>
  <c r="G38" i="1"/>
  <c r="G39" i="1"/>
  <c r="G41" i="1"/>
  <c r="G37" i="1"/>
  <c r="E42" i="1"/>
  <c r="J41" i="1"/>
  <c r="J40" i="1" s="1"/>
  <c r="J39" i="1" s="1"/>
  <c r="J38" i="1" s="1"/>
  <c r="J37" i="1" s="1"/>
  <c r="J36" i="1" s="1"/>
  <c r="J35" i="1" s="1"/>
  <c r="E185" i="1"/>
  <c r="J184" i="1"/>
  <c r="J183" i="1" s="1"/>
  <c r="J182" i="1" s="1"/>
  <c r="J181" i="1" s="1"/>
  <c r="J180" i="1" s="1"/>
  <c r="J179" i="1" s="1"/>
  <c r="J178" i="1" s="1"/>
  <c r="E172" i="1"/>
  <c r="J171" i="1"/>
  <c r="J170" i="1" s="1"/>
  <c r="J169" i="1" s="1"/>
  <c r="J168" i="1" s="1"/>
  <c r="J167" i="1" s="1"/>
  <c r="J166" i="1" s="1"/>
  <c r="J165" i="1" s="1"/>
  <c r="E146" i="1"/>
  <c r="J145" i="1"/>
  <c r="J144" i="1" s="1"/>
  <c r="J143" i="1" s="1"/>
  <c r="J142" i="1" s="1"/>
  <c r="J141" i="1" s="1"/>
  <c r="J140" i="1" s="1"/>
  <c r="J139" i="1" s="1"/>
  <c r="A1" i="2"/>
  <c r="A5" i="2"/>
  <c r="A6" i="2" s="1"/>
  <c r="C3" i="2"/>
  <c r="D3" i="2"/>
  <c r="E3" i="2" s="1"/>
  <c r="E107" i="1"/>
  <c r="J106" i="1"/>
  <c r="J105" i="1" s="1"/>
  <c r="J104" i="1" s="1"/>
  <c r="J103" i="1" s="1"/>
  <c r="J102" i="1" s="1"/>
  <c r="J101" i="1" s="1"/>
  <c r="J100" i="1" s="1"/>
  <c r="E81" i="1"/>
  <c r="J80" i="1"/>
  <c r="J79" i="1" s="1"/>
  <c r="J78" i="1" s="1"/>
  <c r="J77" i="1" s="1"/>
  <c r="J76" i="1" s="1"/>
  <c r="J75" i="1" s="1"/>
  <c r="J74" i="1" s="1"/>
  <c r="E68" i="1"/>
  <c r="J67" i="1"/>
  <c r="J66" i="1" s="1"/>
  <c r="J65" i="1" s="1"/>
  <c r="J64" i="1" s="1"/>
  <c r="J63" i="1" s="1"/>
  <c r="J62" i="1" s="1"/>
  <c r="J61" i="1" s="1"/>
  <c r="E55" i="1"/>
  <c r="J54" i="1"/>
  <c r="J53" i="1" s="1"/>
  <c r="J52" i="1" s="1"/>
  <c r="J51" i="1" s="1"/>
  <c r="J50" i="1" s="1"/>
  <c r="J49" i="1" s="1"/>
  <c r="J48" i="1" s="1"/>
  <c r="K78" i="1" l="1"/>
  <c r="K79" i="1" s="1"/>
  <c r="K80" i="1" s="1"/>
  <c r="K63" i="1"/>
  <c r="K64" i="1" s="1"/>
  <c r="K65" i="1" s="1"/>
  <c r="G168" i="1"/>
  <c r="G77" i="1"/>
  <c r="N22" i="1"/>
  <c r="H132" i="1" s="1"/>
  <c r="E2" i="2"/>
  <c r="F3" i="2"/>
  <c r="B2" i="2"/>
  <c r="C2" i="2"/>
  <c r="C6" i="2" s="1"/>
  <c r="D2" i="2"/>
  <c r="K180" i="1"/>
  <c r="G181" i="1"/>
  <c r="K39" i="1"/>
  <c r="G79" i="1"/>
  <c r="N17" i="1"/>
  <c r="N20" i="1"/>
  <c r="H130" i="1" s="1"/>
  <c r="K90" i="1"/>
  <c r="K52" i="1"/>
  <c r="N18" i="1"/>
  <c r="H128" i="1" s="1"/>
  <c r="G105" i="1"/>
  <c r="K105" i="1"/>
  <c r="G142" i="1"/>
  <c r="K141" i="1"/>
  <c r="K169" i="1"/>
  <c r="N21" i="1"/>
  <c r="H131" i="1" s="1"/>
  <c r="A7" i="2"/>
  <c r="N19" i="1"/>
  <c r="H169" i="1" l="1"/>
  <c r="H129" i="1"/>
  <c r="H63" i="1"/>
  <c r="H102" i="1"/>
  <c r="H38" i="1"/>
  <c r="H103" i="1"/>
  <c r="H141" i="1"/>
  <c r="H104" i="1"/>
  <c r="H89" i="1"/>
  <c r="H90" i="1"/>
  <c r="H142" i="1"/>
  <c r="H37" i="1"/>
  <c r="H105" i="1"/>
  <c r="H65" i="1"/>
  <c r="H78" i="1"/>
  <c r="H39" i="1"/>
  <c r="H91" i="1"/>
  <c r="D5" i="2"/>
  <c r="D4" i="2"/>
  <c r="K181" i="1"/>
  <c r="G170" i="1"/>
  <c r="H170" i="1" s="1"/>
  <c r="K170" i="1"/>
  <c r="H182" i="1"/>
  <c r="H67" i="1"/>
  <c r="H41" i="1"/>
  <c r="H145" i="1"/>
  <c r="H184" i="1"/>
  <c r="H93" i="1"/>
  <c r="H54" i="1"/>
  <c r="K106" i="1"/>
  <c r="K91" i="1"/>
  <c r="H50" i="1"/>
  <c r="H168" i="1"/>
  <c r="H79" i="1"/>
  <c r="H181" i="1"/>
  <c r="H180" i="1"/>
  <c r="K66" i="1"/>
  <c r="H77" i="1"/>
  <c r="D6" i="2"/>
  <c r="H171" i="1"/>
  <c r="G53" i="1"/>
  <c r="H53" i="1" s="1"/>
  <c r="K53" i="1"/>
  <c r="H143" i="1"/>
  <c r="H64" i="1"/>
  <c r="G66" i="1"/>
  <c r="H66" i="1" s="1"/>
  <c r="H80" i="1"/>
  <c r="E7" i="2"/>
  <c r="D7" i="2"/>
  <c r="B7" i="2"/>
  <c r="C7" i="2"/>
  <c r="A8" i="2"/>
  <c r="K142" i="1"/>
  <c r="K81" i="1"/>
  <c r="H51" i="1"/>
  <c r="K40" i="1"/>
  <c r="G40" i="1"/>
  <c r="H40" i="1" s="1"/>
  <c r="H106" i="1"/>
  <c r="H52" i="1"/>
  <c r="H76" i="1"/>
  <c r="G3" i="2"/>
  <c r="F2" i="2"/>
  <c r="F7" i="2" s="1"/>
  <c r="E4" i="2"/>
  <c r="E5" i="2"/>
  <c r="E6" i="2"/>
  <c r="C4" i="2"/>
  <c r="C5" i="2"/>
  <c r="H167" i="1"/>
  <c r="B5" i="2"/>
  <c r="B6" i="2"/>
  <c r="B4" i="2"/>
  <c r="G81" i="1" l="1"/>
  <c r="H81" i="1" s="1"/>
  <c r="G92" i="1"/>
  <c r="H92" i="1" s="1"/>
  <c r="K92" i="1"/>
  <c r="F4" i="2"/>
  <c r="F5" i="2"/>
  <c r="F6" i="2"/>
  <c r="K41" i="1"/>
  <c r="K107" i="1"/>
  <c r="K171" i="1"/>
  <c r="G2" i="2"/>
  <c r="G8" i="2" s="1"/>
  <c r="H3" i="2"/>
  <c r="B8" i="2"/>
  <c r="D8" i="2"/>
  <c r="F8" i="2"/>
  <c r="C8" i="2"/>
  <c r="E8" i="2"/>
  <c r="A9" i="2"/>
  <c r="K182" i="1"/>
  <c r="K143" i="1"/>
  <c r="K54" i="1"/>
  <c r="K67" i="1"/>
  <c r="K183" i="1" l="1"/>
  <c r="G183" i="1"/>
  <c r="H183" i="1" s="1"/>
  <c r="B9" i="2"/>
  <c r="F9" i="2"/>
  <c r="G9" i="2"/>
  <c r="A10" i="2"/>
  <c r="D9" i="2"/>
  <c r="E9" i="2"/>
  <c r="C9" i="2"/>
  <c r="K172" i="1"/>
  <c r="G172" i="1"/>
  <c r="H172" i="1" s="1"/>
  <c r="K144" i="1"/>
  <c r="G144" i="1"/>
  <c r="H144" i="1" s="1"/>
  <c r="K55" i="1"/>
  <c r="K68" i="1"/>
  <c r="G68" i="1"/>
  <c r="H68" i="1" s="1"/>
  <c r="G107" i="1"/>
  <c r="H107" i="1" s="1"/>
  <c r="I3" i="2"/>
  <c r="H2" i="2"/>
  <c r="K93" i="1"/>
  <c r="G5" i="2"/>
  <c r="G4" i="2"/>
  <c r="G6" i="2"/>
  <c r="G7" i="2"/>
  <c r="K42" i="1"/>
  <c r="I2" i="2" l="1"/>
  <c r="I5" i="2" s="1"/>
  <c r="F42" i="1"/>
  <c r="G42" i="1" s="1"/>
  <c r="H42" i="1" s="1"/>
  <c r="G55" i="1"/>
  <c r="H55" i="1" s="1"/>
  <c r="H4" i="2"/>
  <c r="H6" i="2"/>
  <c r="H5" i="2"/>
  <c r="H7" i="2"/>
  <c r="H8" i="2"/>
  <c r="H9" i="2"/>
  <c r="K94" i="1"/>
  <c r="K145" i="1"/>
  <c r="H10" i="2"/>
  <c r="C10" i="2"/>
  <c r="F10" i="2"/>
  <c r="A11" i="2"/>
  <c r="B10" i="2"/>
  <c r="E10" i="2"/>
  <c r="G10" i="2"/>
  <c r="D10" i="2"/>
  <c r="K184" i="1"/>
  <c r="I4" i="2" l="1"/>
  <c r="I8" i="2"/>
  <c r="I7" i="2"/>
  <c r="I9" i="2"/>
  <c r="I6" i="2"/>
  <c r="I10" i="2"/>
  <c r="G94" i="1"/>
  <c r="H94" i="1" s="1"/>
  <c r="K185" i="1"/>
  <c r="B11" i="2"/>
  <c r="H11" i="2"/>
  <c r="A12" i="2"/>
  <c r="I11" i="2"/>
  <c r="G11" i="2"/>
  <c r="C11" i="2"/>
  <c r="E11" i="2"/>
  <c r="D11" i="2"/>
  <c r="F11" i="2"/>
  <c r="K146" i="1"/>
  <c r="G146" i="1"/>
  <c r="H146" i="1" s="1"/>
  <c r="B12" i="2" l="1"/>
  <c r="I12" i="2"/>
  <c r="F12" i="2"/>
  <c r="A13" i="2"/>
  <c r="H12" i="2"/>
  <c r="D12" i="2"/>
  <c r="G12" i="2"/>
  <c r="C12" i="2"/>
  <c r="E12" i="2"/>
  <c r="G185" i="1"/>
  <c r="H185" i="1" s="1"/>
  <c r="F13" i="2" l="1"/>
  <c r="B13" i="2"/>
  <c r="A14" i="2"/>
  <c r="H13" i="2"/>
  <c r="C13" i="2"/>
  <c r="E13" i="2"/>
  <c r="D13" i="2"/>
  <c r="G13" i="2"/>
  <c r="I13" i="2"/>
  <c r="H14" i="2" l="1"/>
  <c r="I14" i="2"/>
  <c r="D14" i="2"/>
  <c r="B14" i="2"/>
  <c r="G14" i="2"/>
  <c r="E14" i="2"/>
  <c r="C14" i="2"/>
  <c r="A15" i="2"/>
  <c r="F14" i="2"/>
  <c r="D15" i="2" l="1"/>
  <c r="H15" i="2"/>
  <c r="A16" i="2"/>
  <c r="G15" i="2"/>
  <c r="E15" i="2"/>
  <c r="C15" i="2"/>
  <c r="I15" i="2"/>
  <c r="F15" i="2"/>
  <c r="B15" i="2"/>
  <c r="G16" i="2" l="1"/>
  <c r="A17" i="2"/>
  <c r="B16" i="2"/>
  <c r="I16" i="2"/>
  <c r="D16" i="2"/>
  <c r="C16" i="2"/>
  <c r="E16" i="2"/>
  <c r="H16" i="2"/>
  <c r="F16" i="2"/>
  <c r="D17" i="2" l="1"/>
  <c r="I17" i="2"/>
  <c r="E17" i="2"/>
  <c r="A18" i="2"/>
  <c r="G17" i="2"/>
  <c r="C17" i="2"/>
  <c r="H17" i="2"/>
  <c r="F17" i="2"/>
  <c r="B17" i="2"/>
  <c r="I18" i="2" l="1"/>
  <c r="E18" i="2"/>
  <c r="H18" i="2"/>
  <c r="C18" i="2"/>
  <c r="B18" i="2"/>
  <c r="D18" i="2"/>
  <c r="G18" i="2"/>
  <c r="A19" i="2"/>
  <c r="F18" i="2"/>
  <c r="I19" i="2" l="1"/>
  <c r="D19" i="2"/>
  <c r="C19" i="2"/>
  <c r="A20" i="2"/>
  <c r="E19" i="2"/>
  <c r="H19" i="2"/>
  <c r="G19" i="2"/>
  <c r="F19" i="2"/>
  <c r="B19" i="2"/>
  <c r="I20" i="2" l="1"/>
  <c r="D20" i="2"/>
  <c r="A21" i="2"/>
  <c r="C20" i="2"/>
  <c r="H20" i="2"/>
  <c r="F20" i="2"/>
  <c r="B20" i="2"/>
  <c r="G20" i="2"/>
  <c r="E20" i="2"/>
  <c r="H21" i="2" l="1"/>
  <c r="F21" i="2"/>
  <c r="G21" i="2"/>
  <c r="C21" i="2"/>
  <c r="D21" i="2"/>
  <c r="B21" i="2"/>
  <c r="A22" i="2"/>
  <c r="I21" i="2"/>
  <c r="E21" i="2"/>
  <c r="I22" i="2" l="1"/>
  <c r="B22" i="2"/>
  <c r="H22" i="2"/>
  <c r="A23" i="2"/>
  <c r="G22" i="2"/>
  <c r="D22" i="2"/>
  <c r="C22" i="2"/>
  <c r="E22" i="2"/>
  <c r="F22" i="2"/>
  <c r="C23" i="2" l="1"/>
  <c r="H23" i="2"/>
  <c r="A24" i="2"/>
  <c r="G23" i="2"/>
  <c r="D23" i="2"/>
  <c r="I23" i="2"/>
  <c r="F23" i="2"/>
  <c r="B23" i="2"/>
  <c r="E23" i="2"/>
  <c r="H24" i="2" l="1"/>
  <c r="D24" i="2"/>
  <c r="B24" i="2"/>
  <c r="A25" i="2"/>
  <c r="G24" i="2"/>
  <c r="I24" i="2"/>
  <c r="E24" i="2"/>
  <c r="C24" i="2"/>
  <c r="F24" i="2"/>
  <c r="F25" i="2" l="1"/>
  <c r="G25" i="2"/>
  <c r="D25" i="2"/>
  <c r="B25" i="2"/>
  <c r="A26" i="2"/>
  <c r="H25" i="2"/>
  <c r="C25" i="2"/>
  <c r="I25" i="2"/>
  <c r="E25" i="2"/>
  <c r="G26" i="2" l="1"/>
  <c r="B26" i="2"/>
  <c r="E26" i="2"/>
  <c r="D26" i="2"/>
  <c r="H26" i="2"/>
  <c r="I26" i="2"/>
  <c r="A27" i="2"/>
  <c r="C26" i="2"/>
  <c r="F26" i="2"/>
  <c r="F27" i="2" l="1"/>
  <c r="E27" i="2"/>
  <c r="G27" i="2"/>
  <c r="C27" i="2"/>
  <c r="H27" i="2"/>
  <c r="I27" i="2"/>
  <c r="D27" i="2"/>
  <c r="B27" i="2"/>
  <c r="A28" i="2"/>
  <c r="B28" i="2" l="1"/>
  <c r="D28" i="2"/>
  <c r="I28" i="2"/>
  <c r="G28" i="2"/>
  <c r="F28" i="2"/>
  <c r="E28" i="2"/>
  <c r="C28" i="2"/>
  <c r="H28" i="2"/>
</calcChain>
</file>

<file path=xl/sharedStrings.xml><?xml version="1.0" encoding="utf-8"?>
<sst xmlns="http://schemas.openxmlformats.org/spreadsheetml/2006/main" count="265" uniqueCount="50">
  <si>
    <t>for a family of four</t>
  </si>
  <si>
    <t>studio</t>
  </si>
  <si>
    <t>1 BR</t>
  </si>
  <si>
    <t>Rent Burden</t>
  </si>
  <si>
    <t>2 BR</t>
  </si>
  <si>
    <t>3 BR</t>
  </si>
  <si>
    <t>4 BR</t>
  </si>
  <si>
    <t>5 BR</t>
  </si>
  <si>
    <t>As of:</t>
  </si>
  <si>
    <t>of AMI</t>
  </si>
  <si>
    <t>Income</t>
  </si>
  <si>
    <t>HH Size</t>
  </si>
  <si>
    <t>HH Factor</t>
  </si>
  <si>
    <t>Limit</t>
  </si>
  <si>
    <t>HH size</t>
  </si>
  <si>
    <t>HH factor</t>
  </si>
  <si>
    <t>Preservation/Rehab</t>
  </si>
  <si>
    <t>New Construction/Special Needs</t>
  </si>
  <si>
    <t>Tenant Pays</t>
  </si>
  <si>
    <t>Apartment Electricity only</t>
  </si>
  <si>
    <t xml:space="preserve">Gas Heat </t>
  </si>
  <si>
    <t>Oil Heat</t>
  </si>
  <si>
    <t>Heat</t>
  </si>
  <si>
    <t>Cooking</t>
  </si>
  <si>
    <t xml:space="preserve"> Electric Stove</t>
  </si>
  <si>
    <t xml:space="preserve">Gas Stove </t>
  </si>
  <si>
    <t>Hot Water</t>
  </si>
  <si>
    <t>Electric Hot Water - Heat Pump</t>
  </si>
  <si>
    <t>Electric Hot Water - Other</t>
  </si>
  <si>
    <t>Gas Hot Water</t>
  </si>
  <si>
    <t>Oil Hot Water</t>
  </si>
  <si>
    <t xml:space="preserve">Select --&gt;&gt; </t>
  </si>
  <si>
    <t>Project Total</t>
  </si>
  <si>
    <t>Gross Rent (No utilities removed)</t>
  </si>
  <si>
    <t xml:space="preserve">Underwritten Rent    (Utilities Removed)    </t>
  </si>
  <si>
    <t>Footnotes</t>
  </si>
  <si>
    <t>(2)  Other: e.g. Electric Resistance Heating, Electric PTACs, Electric Furnace</t>
  </si>
  <si>
    <t xml:space="preserve">(1)  Product must be listed on the NEEP Cold Climate Air Source Heat Pump (ccASHP) Product List: https://ashp.neep.org/#!/ </t>
  </si>
  <si>
    <r>
      <t>Electric Heat - Cold Climate Air Source Heat Pump (ccASHP)</t>
    </r>
    <r>
      <rPr>
        <b/>
        <vertAlign val="superscript"/>
        <sz val="11"/>
        <rFont val="Arial"/>
        <family val="2"/>
      </rPr>
      <t>1</t>
    </r>
  </si>
  <si>
    <r>
      <t>Electric Heat - Other</t>
    </r>
    <r>
      <rPr>
        <b/>
        <vertAlign val="superscript"/>
        <sz val="11"/>
        <rFont val="Arial"/>
        <family val="2"/>
      </rPr>
      <t>2</t>
    </r>
  </si>
  <si>
    <r>
      <t xml:space="preserve">Step 2:  The total applicable tenant-paid utility allowances for the project are removed from the </t>
    </r>
    <r>
      <rPr>
        <b/>
        <u/>
        <sz val="14"/>
        <color rgb="FFFF0000"/>
        <rFont val="Arial"/>
        <family val="2"/>
      </rPr>
      <t>Underwritten Rents</t>
    </r>
    <r>
      <rPr>
        <b/>
        <sz val="14"/>
        <color rgb="FFFF0000"/>
        <rFont val="Arial"/>
        <family val="2"/>
      </rPr>
      <t xml:space="preserve"> published below.</t>
    </r>
  </si>
  <si>
    <r>
      <t xml:space="preserve">Step 1:  Select all applicable </t>
    </r>
    <r>
      <rPr>
        <b/>
        <u/>
        <sz val="14"/>
        <color rgb="FFFF0000"/>
        <rFont val="Arial"/>
        <family val="2"/>
      </rPr>
      <t>tenant-paid</t>
    </r>
    <r>
      <rPr>
        <b/>
        <sz val="14"/>
        <color rgb="FFFF0000"/>
        <rFont val="Arial"/>
        <family val="2"/>
      </rPr>
      <t xml:space="preserve"> utility allowances from the table below. Note: these allowances are for 421-a and Inclusionary Programs only. </t>
    </r>
  </si>
  <si>
    <t xml:space="preserve"> Projects also going through HPD loan programs must defer to allowances and rules provided by HPD loan programs. </t>
  </si>
  <si>
    <t>Inclusionary and 421-a AMIs and Utility Allowances</t>
  </si>
  <si>
    <t>2 BR 100% FMR (2024)</t>
  </si>
  <si>
    <t>2024 Area Median Income</t>
  </si>
  <si>
    <r>
      <t xml:space="preserve">2024 Utility Allowances for </t>
    </r>
    <r>
      <rPr>
        <b/>
        <u/>
        <sz val="12"/>
        <rFont val="Arial"/>
        <family val="2"/>
      </rPr>
      <t>421-a and Inclusionary Programs Only</t>
    </r>
  </si>
  <si>
    <t>The 50% values are hard coded to resolve the minor disagreement between HDC's formulas and the 2024 HUD standards. These disagreements have arisen due to a change in HUD's income limit formula.</t>
  </si>
  <si>
    <t>N/A or owner pays</t>
  </si>
  <si>
    <t>N/A - owner pays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</si>
</sst>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43" formatCode="_(* #,##0.00_);_(* \(#,##0.00\);_(* &quot;-&quot;??_);_(@_)"/>
    <numFmt numFmtId="164" formatCode="&quot;Income Limits &amp; Rents at &quot;0%\ &quot;AMI&quot;"/>
    <numFmt numFmtId="165" formatCode="&quot;Income Limits &amp; Rents at &quot;0%\ &quot;of AMI&quot;"/>
    <numFmt numFmtId="166" formatCode="0%\ &quot;of AMI&quot;"/>
    <numFmt numFmtId="167" formatCode="&quot;CY&quot;0\ &quot;NYC HUD INCOME LIMITS&quot;"/>
    <numFmt numFmtId="168" formatCode="0&quot;-person&quot;"/>
    <numFmt numFmtId="169" formatCode="&quot;$&quot;#,##0"/>
  </numFmts>
  <fonts count="26" x14ac:knownFonts="1">
    <font>
      <sz val="12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Courier New"/>
      <family val="3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0"/>
      <name val="Arial"/>
      <family val="2"/>
    </font>
    <font>
      <b/>
      <sz val="11"/>
      <name val="Arial"/>
      <family val="2"/>
    </font>
    <font>
      <b/>
      <sz val="12"/>
      <color rgb="FFC00000"/>
      <name val="Arial"/>
      <family val="2"/>
    </font>
    <font>
      <u/>
      <sz val="12"/>
      <color theme="10"/>
      <name val="Arial"/>
      <family val="2"/>
    </font>
    <font>
      <u/>
      <sz val="12"/>
      <color theme="1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4"/>
      <color rgb="FFFF0000"/>
      <name val="Arial"/>
      <family val="2"/>
    </font>
    <font>
      <sz val="8"/>
      <name val="Arial"/>
      <family val="2"/>
    </font>
    <font>
      <b/>
      <u/>
      <sz val="14"/>
      <color rgb="FFFF0000"/>
      <name val="Arial"/>
      <family val="2"/>
    </font>
    <font>
      <sz val="9"/>
      <color rgb="FFFF0000"/>
      <name val="Arial"/>
      <family val="2"/>
    </font>
    <font>
      <u/>
      <sz val="10"/>
      <color theme="0" tint="-0.499984740745262"/>
      <name val="Arial"/>
      <family val="2"/>
    </font>
    <font>
      <i/>
      <sz val="10"/>
      <color theme="0" tint="-0.499984740745262"/>
      <name val="Arial"/>
      <family val="2"/>
    </font>
    <font>
      <b/>
      <vertAlign val="superscript"/>
      <sz val="11"/>
      <name val="Arial"/>
      <family val="2"/>
    </font>
    <font>
      <b/>
      <sz val="1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11">
    <xf numFmtId="0" fontId="0" fillId="0" borderId="0"/>
    <xf numFmtId="43" fontId="8" fillId="0" borderId="0" applyFont="0" applyFill="0" applyBorder="0" applyAlignment="0" applyProtection="0"/>
    <xf numFmtId="0" fontId="8" fillId="0" borderId="0"/>
    <xf numFmtId="0" fontId="4" fillId="0" borderId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3" fillId="0" borderId="0"/>
    <xf numFmtId="0" fontId="2" fillId="0" borderId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" fillId="0" borderId="0"/>
  </cellStyleXfs>
  <cellXfs count="118">
    <xf numFmtId="0" fontId="0" fillId="0" borderId="0" xfId="0"/>
    <xf numFmtId="9" fontId="5" fillId="0" borderId="0" xfId="4" applyFont="1" applyFill="1" applyBorder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1" xfId="0" applyFont="1" applyBorder="1"/>
    <xf numFmtId="0" fontId="6" fillId="0" borderId="0" xfId="3" applyFont="1" applyAlignment="1">
      <alignment horizontal="center"/>
    </xf>
    <xf numFmtId="3" fontId="7" fillId="3" borderId="2" xfId="0" applyNumberFormat="1" applyFont="1" applyFill="1" applyBorder="1" applyAlignment="1">
      <alignment horizontal="center"/>
    </xf>
    <xf numFmtId="9" fontId="9" fillId="0" borderId="4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4" borderId="6" xfId="0" applyFont="1" applyFill="1" applyBorder="1"/>
    <xf numFmtId="0" fontId="6" fillId="4" borderId="1" xfId="0" applyFont="1" applyFill="1" applyBorder="1"/>
    <xf numFmtId="0" fontId="6" fillId="4" borderId="7" xfId="0" applyFont="1" applyFill="1" applyBorder="1" applyAlignment="1">
      <alignment horizontal="center"/>
    </xf>
    <xf numFmtId="164" fontId="5" fillId="4" borderId="6" xfId="0" applyNumberFormat="1" applyFont="1" applyFill="1" applyBorder="1"/>
    <xf numFmtId="164" fontId="5" fillId="4" borderId="1" xfId="0" applyNumberFormat="1" applyFont="1" applyFill="1" applyBorder="1"/>
    <xf numFmtId="0" fontId="6" fillId="4" borderId="3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3" xfId="0" applyFont="1" applyFill="1" applyBorder="1"/>
    <xf numFmtId="0" fontId="6" fillId="4" borderId="0" xfId="0" applyFont="1" applyFill="1"/>
    <xf numFmtId="165" fontId="6" fillId="4" borderId="0" xfId="0" applyNumberFormat="1" applyFont="1" applyFill="1" applyAlignment="1">
      <alignment horizontal="center"/>
    </xf>
    <xf numFmtId="165" fontId="6" fillId="0" borderId="0" xfId="0" applyNumberFormat="1" applyFont="1" applyAlignment="1">
      <alignment horizontal="center"/>
    </xf>
    <xf numFmtId="0" fontId="6" fillId="0" borderId="9" xfId="3" applyFont="1" applyBorder="1" applyAlignment="1">
      <alignment horizontal="center"/>
    </xf>
    <xf numFmtId="2" fontId="6" fillId="0" borderId="10" xfId="3" applyNumberFormat="1" applyFont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5" xfId="3" applyFont="1" applyFill="1" applyBorder="1" applyAlignment="1">
      <alignment horizontal="center"/>
    </xf>
    <xf numFmtId="9" fontId="6" fillId="4" borderId="5" xfId="3" applyNumberFormat="1" applyFont="1" applyFill="1" applyBorder="1" applyAlignment="1">
      <alignment horizontal="center"/>
    </xf>
    <xf numFmtId="166" fontId="6" fillId="4" borderId="5" xfId="0" applyNumberFormat="1" applyFont="1" applyFill="1" applyBorder="1" applyAlignment="1">
      <alignment horizontal="center" wrapText="1"/>
    </xf>
    <xf numFmtId="0" fontId="6" fillId="0" borderId="0" xfId="3" applyFont="1" applyAlignment="1">
      <alignment horizontal="center" wrapText="1"/>
    </xf>
    <xf numFmtId="0" fontId="6" fillId="0" borderId="10" xfId="3" applyFont="1" applyBorder="1" applyAlignment="1">
      <alignment horizontal="center"/>
    </xf>
    <xf numFmtId="39" fontId="6" fillId="0" borderId="10" xfId="3" applyNumberFormat="1" applyFont="1" applyBorder="1" applyAlignment="1">
      <alignment horizontal="center"/>
    </xf>
    <xf numFmtId="3" fontId="7" fillId="3" borderId="9" xfId="0" applyNumberFormat="1" applyFont="1" applyFill="1" applyBorder="1" applyAlignment="1">
      <alignment horizontal="center"/>
    </xf>
    <xf numFmtId="3" fontId="6" fillId="0" borderId="0" xfId="0" applyNumberFormat="1" applyFont="1" applyAlignment="1">
      <alignment horizontal="center"/>
    </xf>
    <xf numFmtId="6" fontId="6" fillId="0" borderId="0" xfId="0" applyNumberFormat="1" applyFont="1"/>
    <xf numFmtId="3" fontId="6" fillId="0" borderId="0" xfId="0" applyNumberFormat="1" applyFont="1"/>
    <xf numFmtId="14" fontId="6" fillId="0" borderId="0" xfId="0" applyNumberFormat="1" applyFont="1"/>
    <xf numFmtId="0" fontId="10" fillId="0" borderId="0" xfId="0" applyFont="1"/>
    <xf numFmtId="2" fontId="11" fillId="0" borderId="0" xfId="0" applyNumberFormat="1" applyFont="1" applyAlignment="1">
      <alignment horizontal="center"/>
    </xf>
    <xf numFmtId="0" fontId="7" fillId="0" borderId="12" xfId="0" applyFont="1" applyBorder="1" applyAlignment="1">
      <alignment horizontal="left"/>
    </xf>
    <xf numFmtId="168" fontId="7" fillId="0" borderId="12" xfId="0" applyNumberFormat="1" applyFont="1" applyBorder="1"/>
    <xf numFmtId="9" fontId="0" fillId="0" borderId="0" xfId="0" applyNumberFormat="1" applyAlignment="1">
      <alignment horizontal="left"/>
    </xf>
    <xf numFmtId="3" fontId="0" fillId="0" borderId="0" xfId="0" applyNumberFormat="1"/>
    <xf numFmtId="9" fontId="0" fillId="4" borderId="0" xfId="0" applyNumberFormat="1" applyFill="1" applyAlignment="1">
      <alignment horizontal="left"/>
    </xf>
    <xf numFmtId="3" fontId="0" fillId="4" borderId="0" xfId="0" applyNumberFormat="1" applyFill="1"/>
    <xf numFmtId="9" fontId="0" fillId="0" borderId="0" xfId="0" applyNumberFormat="1"/>
    <xf numFmtId="9" fontId="0" fillId="0" borderId="13" xfId="0" applyNumberFormat="1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/>
    </xf>
    <xf numFmtId="169" fontId="2" fillId="0" borderId="0" xfId="7" applyNumberFormat="1" applyAlignment="1">
      <alignment horizontal="center"/>
    </xf>
    <xf numFmtId="3" fontId="0" fillId="5" borderId="0" xfId="0" applyNumberFormat="1" applyFill="1"/>
    <xf numFmtId="169" fontId="0" fillId="0" borderId="0" xfId="0" applyNumberFormat="1"/>
    <xf numFmtId="0" fontId="2" fillId="0" borderId="0" xfId="7"/>
    <xf numFmtId="3" fontId="7" fillId="6" borderId="2" xfId="0" applyNumberFormat="1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14" fontId="7" fillId="2" borderId="2" xfId="0" applyNumberFormat="1" applyFont="1" applyFill="1" applyBorder="1" applyAlignment="1">
      <alignment horizontal="center"/>
    </xf>
    <xf numFmtId="3" fontId="7" fillId="2" borderId="2" xfId="0" applyNumberFormat="1" applyFont="1" applyFill="1" applyBorder="1" applyAlignment="1">
      <alignment horizontal="center"/>
    </xf>
    <xf numFmtId="9" fontId="7" fillId="2" borderId="2" xfId="0" applyNumberFormat="1" applyFont="1" applyFill="1" applyBorder="1" applyAlignment="1">
      <alignment horizontal="center"/>
    </xf>
    <xf numFmtId="9" fontId="13" fillId="2" borderId="2" xfId="0" applyNumberFormat="1" applyFont="1" applyFill="1" applyBorder="1" applyAlignment="1">
      <alignment horizontal="center"/>
    </xf>
    <xf numFmtId="3" fontId="7" fillId="4" borderId="0" xfId="0" applyNumberFormat="1" applyFont="1" applyFill="1"/>
    <xf numFmtId="3" fontId="6" fillId="0" borderId="1" xfId="0" applyNumberFormat="1" applyFont="1" applyBorder="1"/>
    <xf numFmtId="0" fontId="16" fillId="0" borderId="0" xfId="0" applyFont="1"/>
    <xf numFmtId="0" fontId="6" fillId="0" borderId="5" xfId="0" applyFont="1" applyBorder="1" applyAlignment="1">
      <alignment horizontal="center"/>
    </xf>
    <xf numFmtId="0" fontId="0" fillId="0" borderId="5" xfId="0" applyBorder="1"/>
    <xf numFmtId="0" fontId="6" fillId="0" borderId="5" xfId="0" applyFont="1" applyBorder="1"/>
    <xf numFmtId="0" fontId="0" fillId="0" borderId="0" xfId="3" applyFont="1" applyAlignment="1">
      <alignment horizontal="center"/>
    </xf>
    <xf numFmtId="0" fontId="7" fillId="0" borderId="0" xfId="0" applyFont="1"/>
    <xf numFmtId="0" fontId="18" fillId="0" borderId="0" xfId="0" applyFont="1"/>
    <xf numFmtId="0" fontId="17" fillId="0" borderId="0" xfId="0" applyFont="1" applyAlignment="1">
      <alignment horizontal="left" indent="1"/>
    </xf>
    <xf numFmtId="3" fontId="7" fillId="3" borderId="15" xfId="0" applyNumberFormat="1" applyFont="1" applyFill="1" applyBorder="1" applyAlignment="1">
      <alignment horizontal="center"/>
    </xf>
    <xf numFmtId="0" fontId="22" fillId="0" borderId="0" xfId="0" applyFont="1"/>
    <xf numFmtId="0" fontId="23" fillId="0" borderId="0" xfId="0" quotePrefix="1" applyFont="1"/>
    <xf numFmtId="3" fontId="7" fillId="3" borderId="27" xfId="0" applyNumberFormat="1" applyFont="1" applyFill="1" applyBorder="1" applyAlignment="1">
      <alignment horizontal="center"/>
    </xf>
    <xf numFmtId="3" fontId="7" fillId="3" borderId="28" xfId="0" applyNumberFormat="1" applyFont="1" applyFill="1" applyBorder="1" applyAlignment="1">
      <alignment horizontal="center"/>
    </xf>
    <xf numFmtId="3" fontId="7" fillId="3" borderId="29" xfId="0" applyNumberFormat="1" applyFont="1" applyFill="1" applyBorder="1" applyAlignment="1">
      <alignment horizontal="center"/>
    </xf>
    <xf numFmtId="3" fontId="7" fillId="3" borderId="30" xfId="0" applyNumberFormat="1" applyFont="1" applyFill="1" applyBorder="1" applyAlignment="1">
      <alignment horizontal="center"/>
    </xf>
    <xf numFmtId="3" fontId="7" fillId="3" borderId="31" xfId="0" applyNumberFormat="1" applyFont="1" applyFill="1" applyBorder="1" applyAlignment="1">
      <alignment horizontal="center"/>
    </xf>
    <xf numFmtId="3" fontId="7" fillId="3" borderId="32" xfId="0" applyNumberFormat="1" applyFont="1" applyFill="1" applyBorder="1" applyAlignment="1">
      <alignment horizontal="center"/>
    </xf>
    <xf numFmtId="0" fontId="12" fillId="0" borderId="37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3" fontId="7" fillId="3" borderId="19" xfId="0" applyNumberFormat="1" applyFont="1" applyFill="1" applyBorder="1" applyAlignment="1">
      <alignment horizontal="center"/>
    </xf>
    <xf numFmtId="3" fontId="7" fillId="3" borderId="21" xfId="0" applyNumberFormat="1" applyFont="1" applyFill="1" applyBorder="1" applyAlignment="1">
      <alignment horizontal="center"/>
    </xf>
    <xf numFmtId="3" fontId="7" fillId="3" borderId="23" xfId="0" applyNumberFormat="1" applyFont="1" applyFill="1" applyBorder="1" applyAlignment="1">
      <alignment horizontal="center"/>
    </xf>
    <xf numFmtId="3" fontId="7" fillId="3" borderId="24" xfId="0" applyNumberFormat="1" applyFont="1" applyFill="1" applyBorder="1" applyAlignment="1">
      <alignment horizontal="center"/>
    </xf>
    <xf numFmtId="0" fontId="18" fillId="0" borderId="0" xfId="0" applyFont="1" applyAlignment="1">
      <alignment horizontal="left" indent="4"/>
    </xf>
    <xf numFmtId="39" fontId="6" fillId="0" borderId="0" xfId="3" applyNumberFormat="1" applyFont="1" applyAlignment="1">
      <alignment horizontal="center"/>
    </xf>
    <xf numFmtId="2" fontId="6" fillId="0" borderId="0" xfId="3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3" fontId="7" fillId="0" borderId="5" xfId="0" applyNumberFormat="1" applyFont="1" applyBorder="1" applyAlignment="1">
      <alignment horizontal="center"/>
    </xf>
    <xf numFmtId="0" fontId="6" fillId="0" borderId="5" xfId="3" applyFont="1" applyBorder="1" applyAlignment="1">
      <alignment horizontal="center"/>
    </xf>
    <xf numFmtId="2" fontId="6" fillId="0" borderId="5" xfId="3" applyNumberFormat="1" applyFont="1" applyBorder="1" applyAlignment="1">
      <alignment horizontal="center"/>
    </xf>
    <xf numFmtId="3" fontId="6" fillId="0" borderId="5" xfId="0" applyNumberFormat="1" applyFont="1" applyBorder="1" applyAlignment="1">
      <alignment horizontal="center"/>
    </xf>
    <xf numFmtId="0" fontId="1" fillId="0" borderId="0" xfId="210"/>
    <xf numFmtId="169" fontId="1" fillId="0" borderId="0" xfId="210" applyNumberFormat="1" applyAlignment="1">
      <alignment horizontal="center"/>
    </xf>
    <xf numFmtId="0" fontId="0" fillId="0" borderId="0" xfId="0" applyAlignment="1">
      <alignment wrapText="1"/>
    </xf>
    <xf numFmtId="0" fontId="21" fillId="7" borderId="18" xfId="0" applyFont="1" applyFill="1" applyBorder="1" applyAlignment="1" applyProtection="1">
      <alignment horizontal="center" vertical="center" wrapText="1"/>
      <protection locked="0"/>
    </xf>
    <xf numFmtId="0" fontId="0" fillId="4" borderId="4" xfId="0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12" fillId="0" borderId="33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3" fontId="7" fillId="3" borderId="9" xfId="0" applyNumberFormat="1" applyFont="1" applyFill="1" applyBorder="1" applyAlignment="1">
      <alignment horizontal="center"/>
    </xf>
    <xf numFmtId="3" fontId="7" fillId="3" borderId="22" xfId="0" applyNumberFormat="1" applyFont="1" applyFill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12" fillId="0" borderId="40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21" fillId="7" borderId="18" xfId="0" applyFont="1" applyFill="1" applyBorder="1" applyAlignment="1" applyProtection="1">
      <alignment horizontal="center" vertical="center" wrapText="1"/>
      <protection locked="0"/>
    </xf>
    <xf numFmtId="3" fontId="7" fillId="3" borderId="11" xfId="0" applyNumberFormat="1" applyFont="1" applyFill="1" applyBorder="1" applyAlignment="1">
      <alignment horizontal="center"/>
    </xf>
    <xf numFmtId="3" fontId="7" fillId="3" borderId="20" xfId="0" applyNumberFormat="1" applyFont="1" applyFill="1" applyBorder="1" applyAlignment="1">
      <alignment horizontal="center"/>
    </xf>
    <xf numFmtId="3" fontId="7" fillId="3" borderId="25" xfId="0" applyNumberFormat="1" applyFont="1" applyFill="1" applyBorder="1" applyAlignment="1">
      <alignment horizontal="center"/>
    </xf>
    <xf numFmtId="3" fontId="7" fillId="3" borderId="26" xfId="0" applyNumberFormat="1" applyFont="1" applyFill="1" applyBorder="1" applyAlignment="1">
      <alignment horizontal="center"/>
    </xf>
    <xf numFmtId="167" fontId="5" fillId="0" borderId="0" xfId="0" applyNumberFormat="1" applyFont="1" applyAlignment="1">
      <alignment horizontal="left"/>
    </xf>
  </cellXfs>
  <cellStyles count="211">
    <cellStyle name="Comma 2" xfId="1" xr:uid="{00000000-0005-0000-0000-000000000000}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Normal" xfId="0" builtinId="0"/>
    <cellStyle name="Normal 2" xfId="2" xr:uid="{00000000-0005-0000-0000-0000CC000000}"/>
    <cellStyle name="Normal 3" xfId="6" xr:uid="{00000000-0005-0000-0000-0000CD000000}"/>
    <cellStyle name="Normal 4" xfId="7" xr:uid="{00000000-0005-0000-0000-0000CE000000}"/>
    <cellStyle name="Normal 4 2" xfId="210" xr:uid="{C7EB9CE3-DB2D-4366-BF37-3C512FF7EE01}"/>
    <cellStyle name="Normal_coop sale price analysis v2" xfId="3" xr:uid="{00000000-0005-0000-0000-0000CF000000}"/>
    <cellStyle name="Percent" xfId="4" builtinId="5"/>
    <cellStyle name="Percent 2" xfId="5" xr:uid="{00000000-0005-0000-0000-0000D1000000}"/>
  </cellStyles>
  <dxfs count="11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illegrc\AppData\Local\Microsoft\Windows\INetCache\Content.Outlook\UBU94FM6\2024%20AMI%20rent%20calcs%20-%203%25%20Marketing%20Band%20(Update%20from%20HDC).xlsx" TargetMode="External"/><Relationship Id="rId1" Type="http://schemas.openxmlformats.org/officeDocument/2006/relationships/externalLinkPath" Target="file:///C:\Users\killegrc\AppData\Local\Microsoft\Windows\INetCache\Content.Outlook\UBU94FM6\2024%20AMI%20rent%20calcs%20-%203%25%20Marketing%20Band%20(Update%20from%20HDC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MI &amp; Rent"/>
      <sheetName val="AMI Table"/>
      <sheetName val="Sheet1"/>
    </sheetNames>
    <sheetDataSet>
      <sheetData sheetId="0">
        <row r="1">
          <cell r="A1" t="str">
            <v>2024 Area Median Income</v>
          </cell>
        </row>
        <row r="32">
          <cell r="K32">
            <v>1</v>
          </cell>
          <cell r="L32">
            <v>0.7</v>
          </cell>
        </row>
        <row r="33">
          <cell r="K33">
            <v>2</v>
          </cell>
          <cell r="L33">
            <v>0.79999999999999993</v>
          </cell>
        </row>
        <row r="34">
          <cell r="K34">
            <v>3</v>
          </cell>
          <cell r="L34">
            <v>0.89999999999999991</v>
          </cell>
        </row>
        <row r="35">
          <cell r="K35">
            <v>4</v>
          </cell>
          <cell r="L35">
            <v>0.99999999999999989</v>
          </cell>
        </row>
        <row r="36">
          <cell r="K36">
            <v>5</v>
          </cell>
          <cell r="L36">
            <v>1.0799999999999998</v>
          </cell>
        </row>
        <row r="37">
          <cell r="K37">
            <v>6</v>
          </cell>
          <cell r="L37">
            <v>1.1599999999999999</v>
          </cell>
        </row>
        <row r="38">
          <cell r="K38">
            <v>7</v>
          </cell>
          <cell r="L38">
            <v>1.24</v>
          </cell>
        </row>
        <row r="39">
          <cell r="K39">
            <v>8</v>
          </cell>
          <cell r="L39">
            <v>1.32</v>
          </cell>
        </row>
      </sheetData>
      <sheetData sheetId="1"/>
      <sheetData sheetId="2">
        <row r="1">
          <cell r="A1" t="str">
            <v>New Construction/Special Needs</v>
          </cell>
        </row>
        <row r="2">
          <cell r="A2" t="str">
            <v>Preservation/Rehab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Foundry">
      <a:dk1>
        <a:sysClr val="windowText" lastClr="000000"/>
      </a:dk1>
      <a:lt1>
        <a:sysClr val="window" lastClr="FFFFFF"/>
      </a:lt1>
      <a:dk2>
        <a:srgbClr val="676A55"/>
      </a:dk2>
      <a:lt2>
        <a:srgbClr val="EAEBDE"/>
      </a:lt2>
      <a:accent1>
        <a:srgbClr val="72A376"/>
      </a:accent1>
      <a:accent2>
        <a:srgbClr val="B0CCB0"/>
      </a:accent2>
      <a:accent3>
        <a:srgbClr val="A8CDD7"/>
      </a:accent3>
      <a:accent4>
        <a:srgbClr val="C0BEAF"/>
      </a:accent4>
      <a:accent5>
        <a:srgbClr val="CEC597"/>
      </a:accent5>
      <a:accent6>
        <a:srgbClr val="E8B7B7"/>
      </a:accent6>
      <a:hlink>
        <a:srgbClr val="DB5353"/>
      </a:hlink>
      <a:folHlink>
        <a:srgbClr val="90363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186"/>
  <sheetViews>
    <sheetView showGridLines="0" tabSelected="1" topLeftCell="A91" zoomScaleNormal="100" zoomScaleSheetLayoutView="85" zoomScalePageLayoutView="160" workbookViewId="0">
      <selection activeCell="G16" sqref="G16"/>
    </sheetView>
  </sheetViews>
  <sheetFormatPr defaultColWidth="8.6640625" defaultRowHeight="15" x14ac:dyDescent="0.2"/>
  <cols>
    <col min="1" max="1" width="12.33203125" style="2" customWidth="1"/>
    <col min="2" max="4" width="11.44140625" style="2" customWidth="1"/>
    <col min="5" max="5" width="12.6640625" style="2" customWidth="1"/>
    <col min="6" max="6" width="12.33203125" style="2" customWidth="1"/>
    <col min="7" max="7" width="11.44140625" style="3" customWidth="1"/>
    <col min="8" max="8" width="11.109375" style="3" customWidth="1"/>
    <col min="9" max="9" width="1.109375" style="3" customWidth="1"/>
    <col min="10" max="10" width="11.44140625" style="3" customWidth="1"/>
    <col min="11" max="13" width="11.44140625" style="2" customWidth="1"/>
    <col min="14" max="14" width="10.5546875" style="2" customWidth="1"/>
    <col min="15" max="15" width="10.33203125" style="2" customWidth="1"/>
    <col min="16" max="16" width="9.6640625" style="2" customWidth="1"/>
    <col min="17" max="18" width="11.6640625" style="2" customWidth="1"/>
    <col min="19" max="19" width="10.5546875" style="2" customWidth="1"/>
    <col min="20" max="20" width="10.5546875" style="2" hidden="1" customWidth="1"/>
    <col min="21" max="21" width="10.33203125" style="2" customWidth="1"/>
    <col min="22" max="22" width="3.88671875" style="2" customWidth="1"/>
    <col min="23" max="16384" width="8.6640625" style="2"/>
  </cols>
  <sheetData>
    <row r="1" spans="1:19" ht="39" customHeight="1" x14ac:dyDescent="0.2">
      <c r="A1" s="101" t="s">
        <v>43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</row>
    <row r="3" spans="1:19" ht="15.75" x14ac:dyDescent="0.25">
      <c r="A3" s="1" t="s">
        <v>45</v>
      </c>
      <c r="F3" s="3"/>
      <c r="G3" s="4"/>
      <c r="H3" s="4"/>
      <c r="I3" s="4"/>
      <c r="J3" s="2"/>
    </row>
    <row r="4" spans="1:19" ht="15.75" x14ac:dyDescent="0.25">
      <c r="A4" s="1"/>
      <c r="G4" s="2"/>
      <c r="H4" s="2"/>
      <c r="I4" s="2"/>
      <c r="J4" s="2"/>
    </row>
    <row r="5" spans="1:19" ht="15" customHeight="1" x14ac:dyDescent="0.25">
      <c r="A5" s="55">
        <v>155300</v>
      </c>
      <c r="B5" s="4" t="s">
        <v>0</v>
      </c>
      <c r="G5" s="2"/>
      <c r="H5" s="2"/>
      <c r="I5" s="2"/>
      <c r="J5" s="2"/>
    </row>
    <row r="6" spans="1:19" ht="15" customHeight="1" x14ac:dyDescent="0.25">
      <c r="A6" s="55">
        <v>2752</v>
      </c>
      <c r="B6" s="53" t="s">
        <v>44</v>
      </c>
      <c r="G6" s="2"/>
      <c r="H6" s="2"/>
      <c r="I6" s="2"/>
      <c r="J6" s="2"/>
    </row>
    <row r="7" spans="1:19" ht="15" customHeight="1" x14ac:dyDescent="0.25">
      <c r="A7" s="56">
        <v>0.3</v>
      </c>
      <c r="B7" s="2" t="s">
        <v>3</v>
      </c>
      <c r="G7" s="2"/>
      <c r="H7" s="2"/>
      <c r="I7" s="2"/>
      <c r="J7" s="2"/>
    </row>
    <row r="8" spans="1:19" x14ac:dyDescent="0.2">
      <c r="G8" s="2"/>
      <c r="H8" s="2"/>
      <c r="I8" s="2"/>
      <c r="J8" s="2"/>
    </row>
    <row r="9" spans="1:19" ht="18" x14ac:dyDescent="0.25">
      <c r="A9" s="66" t="s">
        <v>41</v>
      </c>
      <c r="B9" s="65"/>
      <c r="C9" s="65"/>
      <c r="D9" s="65"/>
      <c r="E9" s="65"/>
      <c r="F9" s="65"/>
      <c r="G9" s="65"/>
      <c r="H9" s="65"/>
      <c r="I9" s="65"/>
      <c r="J9" s="65"/>
      <c r="K9" s="65"/>
    </row>
    <row r="10" spans="1:19" ht="18" x14ac:dyDescent="0.25">
      <c r="A10" s="86" t="s">
        <v>42</v>
      </c>
      <c r="C10" s="65"/>
      <c r="D10" s="65"/>
      <c r="E10" s="65"/>
      <c r="F10" s="65"/>
      <c r="G10" s="65"/>
      <c r="H10" s="65"/>
      <c r="I10" s="65"/>
      <c r="J10" s="65"/>
      <c r="K10" s="65"/>
    </row>
    <row r="11" spans="1:19" x14ac:dyDescent="0.2">
      <c r="C11"/>
      <c r="G11" s="2"/>
      <c r="H11" s="2"/>
      <c r="I11" s="2"/>
      <c r="J11" s="2"/>
    </row>
    <row r="12" spans="1:19" ht="15.75" x14ac:dyDescent="0.25">
      <c r="B12" s="65" t="s">
        <v>46</v>
      </c>
      <c r="C12"/>
      <c r="G12" s="2"/>
      <c r="H12" s="2"/>
      <c r="I12" s="2"/>
      <c r="J12" s="2"/>
    </row>
    <row r="13" spans="1:19" ht="6.95" customHeight="1" thickBot="1" x14ac:dyDescent="0.25">
      <c r="C13"/>
      <c r="G13" s="2"/>
      <c r="H13" s="2"/>
      <c r="I13" s="2"/>
      <c r="J13" s="2"/>
    </row>
    <row r="14" spans="1:19" ht="16.5" thickBot="1" x14ac:dyDescent="0.3">
      <c r="B14" s="102" t="s">
        <v>19</v>
      </c>
      <c r="C14" s="107" t="s">
        <v>23</v>
      </c>
      <c r="D14" s="109"/>
      <c r="E14" s="107" t="s">
        <v>22</v>
      </c>
      <c r="F14" s="108"/>
      <c r="G14" s="108"/>
      <c r="H14" s="108"/>
      <c r="I14" s="109"/>
      <c r="J14" s="107" t="s">
        <v>26</v>
      </c>
      <c r="K14" s="108"/>
      <c r="L14" s="108"/>
      <c r="M14" s="109"/>
      <c r="N14" s="102" t="s">
        <v>32</v>
      </c>
    </row>
    <row r="15" spans="1:19" ht="77.25" customHeight="1" thickBot="1" x14ac:dyDescent="0.25">
      <c r="B15" s="103"/>
      <c r="C15" s="77" t="s">
        <v>24</v>
      </c>
      <c r="D15" s="78" t="s">
        <v>25</v>
      </c>
      <c r="E15" s="79" t="s">
        <v>38</v>
      </c>
      <c r="F15" s="80" t="s">
        <v>39</v>
      </c>
      <c r="G15" s="80" t="s">
        <v>20</v>
      </c>
      <c r="H15" s="110" t="s">
        <v>21</v>
      </c>
      <c r="I15" s="111"/>
      <c r="J15" s="77" t="s">
        <v>27</v>
      </c>
      <c r="K15" s="80" t="s">
        <v>28</v>
      </c>
      <c r="L15" s="81" t="s">
        <v>29</v>
      </c>
      <c r="M15" s="78" t="s">
        <v>30</v>
      </c>
      <c r="N15" s="104"/>
      <c r="Q15"/>
      <c r="R15"/>
      <c r="S15"/>
    </row>
    <row r="16" spans="1:19" ht="17.100000000000001" customHeight="1" thickBot="1" x14ac:dyDescent="0.3">
      <c r="A16" s="67" t="s">
        <v>31</v>
      </c>
      <c r="B16" s="97" t="s">
        <v>18</v>
      </c>
      <c r="C16" s="97" t="s">
        <v>18</v>
      </c>
      <c r="D16" s="97" t="s">
        <v>48</v>
      </c>
      <c r="E16" s="97" t="s">
        <v>48</v>
      </c>
      <c r="F16" s="97" t="s">
        <v>48</v>
      </c>
      <c r="G16" s="97" t="s">
        <v>48</v>
      </c>
      <c r="H16" s="112" t="s">
        <v>49</v>
      </c>
      <c r="I16" s="112"/>
      <c r="J16" s="97" t="s">
        <v>48</v>
      </c>
      <c r="K16" s="97" t="s">
        <v>48</v>
      </c>
      <c r="L16" s="97" t="s">
        <v>48</v>
      </c>
      <c r="M16" s="97" t="s">
        <v>48</v>
      </c>
      <c r="N16" s="103"/>
      <c r="Q16"/>
      <c r="R16"/>
      <c r="S16"/>
    </row>
    <row r="17" spans="1:22" ht="15" customHeight="1" x14ac:dyDescent="0.25">
      <c r="A17" s="6" t="s">
        <v>1</v>
      </c>
      <c r="B17" s="82">
        <f>IF($B$16="Tenant Pays", 74, 0)</f>
        <v>74</v>
      </c>
      <c r="C17" s="82">
        <f>IF($C$16="Tenant Pays", 11, 0)</f>
        <v>11</v>
      </c>
      <c r="D17" s="72">
        <f>IF($D$16="Tenant Pays", 25, 0)</f>
        <v>0</v>
      </c>
      <c r="E17" s="82">
        <f>IF($E$16="Tenant Pays", 24,0)</f>
        <v>0</v>
      </c>
      <c r="F17" s="68">
        <f>IF($F$16="Tenant Pays", 42, 0)</f>
        <v>0</v>
      </c>
      <c r="G17" s="68">
        <f>IF($G$16="Tenant Pays", 65,0)</f>
        <v>0</v>
      </c>
      <c r="H17" s="113">
        <f>IF($H$16="Tenant Pays", 116,0)</f>
        <v>0</v>
      </c>
      <c r="I17" s="114"/>
      <c r="J17" s="71">
        <f>IF($J$16="Tenant Pays", 16,0)</f>
        <v>0</v>
      </c>
      <c r="K17" s="68">
        <f>IF($K$16="Tenant Pays", 38,0)</f>
        <v>0</v>
      </c>
      <c r="L17" s="68">
        <f>IF($L$16="Tenant Pays", 20,0)</f>
        <v>0</v>
      </c>
      <c r="M17" s="72">
        <f>IF($M$16="Tenant Pays", 35, 0)</f>
        <v>0</v>
      </c>
      <c r="N17" s="52">
        <f t="shared" ref="N17:N22" si="0">SUM(B17:M17)</f>
        <v>85</v>
      </c>
      <c r="Q17"/>
      <c r="R17"/>
      <c r="S17"/>
    </row>
    <row r="18" spans="1:22" ht="15" customHeight="1" x14ac:dyDescent="0.25">
      <c r="A18" s="6" t="s">
        <v>2</v>
      </c>
      <c r="B18" s="82">
        <f>IF($B$16="Tenant Pays", 84, 0)</f>
        <v>84</v>
      </c>
      <c r="C18" s="83">
        <f>IF($C$16="Tenant Pays", 13, 0)</f>
        <v>13</v>
      </c>
      <c r="D18" s="74">
        <f>IF($D$16="Tenant Pays", 28, 0)</f>
        <v>0</v>
      </c>
      <c r="E18" s="83">
        <f>IF($E$16="Tenant Pays", 28,0)</f>
        <v>0</v>
      </c>
      <c r="F18" s="7">
        <f>IF($F$16="Tenant Pays", 49, 0)</f>
        <v>0</v>
      </c>
      <c r="G18" s="7">
        <f>IF($G$16="Tenant Pays", 77,0)</f>
        <v>0</v>
      </c>
      <c r="H18" s="105">
        <f>IF($H$16="Tenant Pays", 137,0)</f>
        <v>0</v>
      </c>
      <c r="I18" s="106"/>
      <c r="J18" s="73">
        <f>IF($J$16="Tenant Pays", 27,0)</f>
        <v>0</v>
      </c>
      <c r="K18" s="7">
        <f>IF($K$16="Tenant Pays", 66,0)</f>
        <v>0</v>
      </c>
      <c r="L18" s="7">
        <f>IF($L$16="Tenant Pays", 23,0)</f>
        <v>0</v>
      </c>
      <c r="M18" s="74">
        <f>IF($M$16="Tenant Pays", 41, 0)</f>
        <v>0</v>
      </c>
      <c r="N18" s="52">
        <f t="shared" si="0"/>
        <v>97</v>
      </c>
      <c r="Q18"/>
      <c r="R18"/>
      <c r="S18"/>
    </row>
    <row r="19" spans="1:22" ht="15" customHeight="1" x14ac:dyDescent="0.25">
      <c r="A19" s="6" t="s">
        <v>4</v>
      </c>
      <c r="B19" s="82">
        <f>IF($B$16="Tenant Pays", 109, 0)</f>
        <v>109</v>
      </c>
      <c r="C19" s="83">
        <f>IF($C$16="Tenant Pays", 19, 0)</f>
        <v>19</v>
      </c>
      <c r="D19" s="74">
        <f>IF($D$16="Tenant Pays", 33, 0)</f>
        <v>0</v>
      </c>
      <c r="E19" s="83">
        <f>IF($E$16="Tenant Pays", 39,0)</f>
        <v>0</v>
      </c>
      <c r="F19" s="7">
        <f>IF($F$16="Tenant Pays", 68, 0)</f>
        <v>0</v>
      </c>
      <c r="G19" s="7">
        <f>IF($G$16="Tenant Pays", 89,0)</f>
        <v>0</v>
      </c>
      <c r="H19" s="105">
        <f>IF($H$16="Tenant Pays", 156,0)</f>
        <v>0</v>
      </c>
      <c r="I19" s="106"/>
      <c r="J19" s="73">
        <f>IF($J$16="Tenant Pays", 55,0)</f>
        <v>0</v>
      </c>
      <c r="K19" s="7">
        <f>IF($K$16="Tenant Pays", 132,0)</f>
        <v>0</v>
      </c>
      <c r="L19" s="7">
        <f>IF($L$16="Tenant Pays", 34,0)</f>
        <v>0</v>
      </c>
      <c r="M19" s="74">
        <f>IF($M$16="Tenant Pays", 60, 0)</f>
        <v>0</v>
      </c>
      <c r="N19" s="52">
        <f t="shared" si="0"/>
        <v>128</v>
      </c>
      <c r="Q19"/>
      <c r="R19"/>
      <c r="S19"/>
    </row>
    <row r="20" spans="1:22" ht="15" customHeight="1" x14ac:dyDescent="0.25">
      <c r="A20" s="6" t="s">
        <v>5</v>
      </c>
      <c r="B20" s="82">
        <f>IF($B$16="Tenant Pays", 134, 0)</f>
        <v>134</v>
      </c>
      <c r="C20" s="83">
        <f>IF($C$16="Tenant Pays", 25, 0)</f>
        <v>25</v>
      </c>
      <c r="D20" s="74">
        <f>IF($D$16="Tenant Pays", 37, 0)</f>
        <v>0</v>
      </c>
      <c r="E20" s="83">
        <f>IF($E$16="Tenant Pays", 50,0)</f>
        <v>0</v>
      </c>
      <c r="F20" s="7">
        <f>IF($F$16="Tenant Pays", 87, 0)</f>
        <v>0</v>
      </c>
      <c r="G20" s="7">
        <f>IF($G$16="Tenant Pays", 98,0)</f>
        <v>0</v>
      </c>
      <c r="H20" s="105">
        <f>IF($H$16="Tenant Pays", 175,0)</f>
        <v>0</v>
      </c>
      <c r="I20" s="106"/>
      <c r="J20" s="73">
        <f>IF($J$16="Tenant Pays", 81,0)</f>
        <v>0</v>
      </c>
      <c r="K20" s="7">
        <f>IF($K$16="Tenant Pays", 198,0)</f>
        <v>0</v>
      </c>
      <c r="L20" s="7">
        <f>IF($L$16="Tenant Pays", 44,0)</f>
        <v>0</v>
      </c>
      <c r="M20" s="74">
        <f>IF($M$16="Tenant Pays", 78, 0)</f>
        <v>0</v>
      </c>
      <c r="N20" s="52">
        <f t="shared" si="0"/>
        <v>159</v>
      </c>
      <c r="Q20"/>
      <c r="R20"/>
      <c r="S20"/>
    </row>
    <row r="21" spans="1:22" ht="15" customHeight="1" x14ac:dyDescent="0.25">
      <c r="A21" s="6" t="s">
        <v>6</v>
      </c>
      <c r="B21" s="82">
        <f>IF($B$16="Tenant Pays", 160, 0)</f>
        <v>160</v>
      </c>
      <c r="C21" s="83">
        <f>IF($C$16="Tenant Pays", 31, 0)</f>
        <v>31</v>
      </c>
      <c r="D21" s="74">
        <f>IF($D$16="Tenant Pays", 42, 0)</f>
        <v>0</v>
      </c>
      <c r="E21" s="83">
        <f>IF($E$16="Tenant Pays", 59,0)</f>
        <v>0</v>
      </c>
      <c r="F21" s="7">
        <f>IF($F$16="Tenant Pays", 103, 0)</f>
        <v>0</v>
      </c>
      <c r="G21" s="7">
        <f>IF($G$16="Tenant Pays", 109,0)</f>
        <v>0</v>
      </c>
      <c r="H21" s="105">
        <f>IF($H$16="Tenant Pays", 195,0)</f>
        <v>0</v>
      </c>
      <c r="I21" s="106"/>
      <c r="J21" s="73">
        <f>IF($J$16="Tenant Pays", 95,0)</f>
        <v>0</v>
      </c>
      <c r="K21" s="7">
        <f>IF($K$16="Tenant Pays", 232,0)</f>
        <v>0</v>
      </c>
      <c r="L21" s="7">
        <f>IF($L$16="Tenant Pays", 54,0)</f>
        <v>0</v>
      </c>
      <c r="M21" s="74">
        <f>IF($M$16="Tenant Pays", 97, 0)</f>
        <v>0</v>
      </c>
      <c r="N21" s="52">
        <f t="shared" si="0"/>
        <v>191</v>
      </c>
      <c r="Q21"/>
      <c r="R21"/>
      <c r="S21"/>
    </row>
    <row r="22" spans="1:22" ht="15" customHeight="1" thickBot="1" x14ac:dyDescent="0.3">
      <c r="A22" s="6" t="s">
        <v>7</v>
      </c>
      <c r="B22" s="82">
        <f>IF($B$16="Tenant Pays", 186, 0)</f>
        <v>186</v>
      </c>
      <c r="C22" s="75">
        <f>IF($C$16="Tenant Pays", 37, 0)</f>
        <v>37</v>
      </c>
      <c r="D22" s="76">
        <f>IF($D$16="Tenant Pays", 46, 0)</f>
        <v>0</v>
      </c>
      <c r="E22" s="84">
        <f>IF($E$16="Tenant Pays", 68,0)</f>
        <v>0</v>
      </c>
      <c r="F22" s="85">
        <f>IF($F$16="Tenant Pays", 119, 0)</f>
        <v>0</v>
      </c>
      <c r="G22" s="85">
        <f>IF($G$16="Tenant Pays", 120,0)</f>
        <v>0</v>
      </c>
      <c r="H22" s="115">
        <f>IF($H$16="Tenant Pays", 214,0)</f>
        <v>0</v>
      </c>
      <c r="I22" s="116"/>
      <c r="J22" s="75">
        <f>IF($J$16="Tenant Pays", 108,0)</f>
        <v>0</v>
      </c>
      <c r="K22" s="85">
        <f>IF($K$16="Tenant Pays", 266,0)</f>
        <v>0</v>
      </c>
      <c r="L22" s="85">
        <f>IF($L$16="Tenant Pays", 65,0)</f>
        <v>0</v>
      </c>
      <c r="M22" s="76">
        <f>IF($M$16="Tenant Pays", 115, 0)</f>
        <v>0</v>
      </c>
      <c r="N22" s="52">
        <f t="shared" si="0"/>
        <v>223</v>
      </c>
      <c r="Q22"/>
      <c r="R22"/>
      <c r="S22"/>
    </row>
    <row r="23" spans="1:22" ht="14.25" customHeight="1" x14ac:dyDescent="0.2">
      <c r="G23" s="2"/>
      <c r="H23" s="60"/>
      <c r="I23" s="60"/>
      <c r="J23" s="60"/>
      <c r="L23"/>
      <c r="M23"/>
      <c r="N23"/>
      <c r="Q23"/>
      <c r="R23"/>
      <c r="S23"/>
    </row>
    <row r="24" spans="1:22" ht="15.75" x14ac:dyDescent="0.25">
      <c r="A24" s="64" t="s">
        <v>8</v>
      </c>
      <c r="B24" s="54">
        <v>45292</v>
      </c>
      <c r="E24" s="47"/>
      <c r="F24" s="3"/>
      <c r="G24" s="2"/>
      <c r="H24" s="2"/>
      <c r="I24" s="2"/>
      <c r="J24" s="2"/>
      <c r="K24" s="34"/>
      <c r="U24"/>
      <c r="V24"/>
    </row>
    <row r="25" spans="1:22" ht="11.1" customHeight="1" x14ac:dyDescent="0.25">
      <c r="C25" s="1"/>
      <c r="H25" s="2"/>
      <c r="I25" s="2"/>
      <c r="N25"/>
      <c r="O25"/>
      <c r="P25"/>
      <c r="Q25"/>
      <c r="R25"/>
      <c r="S25"/>
      <c r="T25"/>
    </row>
    <row r="26" spans="1:22" ht="17.100000000000001" customHeight="1" x14ac:dyDescent="0.25">
      <c r="B26" s="69" t="s">
        <v>35</v>
      </c>
      <c r="C26" s="1"/>
      <c r="H26" s="2"/>
      <c r="I26" s="2"/>
      <c r="N26"/>
      <c r="O26"/>
      <c r="P26"/>
      <c r="Q26"/>
      <c r="R26"/>
      <c r="S26"/>
      <c r="T26"/>
    </row>
    <row r="27" spans="1:22" ht="15" customHeight="1" x14ac:dyDescent="0.25">
      <c r="B27" s="70" t="s">
        <v>37</v>
      </c>
      <c r="C27" s="1"/>
      <c r="H27" s="2"/>
      <c r="I27" s="2"/>
      <c r="N27"/>
      <c r="O27"/>
      <c r="P27"/>
      <c r="Q27"/>
      <c r="R27"/>
      <c r="S27"/>
      <c r="T27"/>
    </row>
    <row r="28" spans="1:22" ht="15" customHeight="1" x14ac:dyDescent="0.25">
      <c r="B28" s="70" t="s">
        <v>36</v>
      </c>
      <c r="C28" s="1"/>
      <c r="H28" s="2"/>
      <c r="I28" s="2"/>
      <c r="N28" s="41"/>
      <c r="O28"/>
      <c r="P28"/>
      <c r="Q28"/>
      <c r="R28"/>
      <c r="S28"/>
      <c r="T28"/>
    </row>
    <row r="29" spans="1:22" ht="17.100000000000001" customHeight="1" x14ac:dyDescent="0.25">
      <c r="C29" s="1"/>
      <c r="H29" s="2"/>
      <c r="I29" s="2"/>
      <c r="N29"/>
      <c r="O29"/>
      <c r="P29"/>
      <c r="Q29"/>
      <c r="R29"/>
      <c r="S29"/>
      <c r="T29"/>
    </row>
    <row r="30" spans="1:22" ht="17.100000000000001" customHeight="1" x14ac:dyDescent="0.25">
      <c r="A30" s="66" t="s">
        <v>40</v>
      </c>
      <c r="C30" s="1"/>
      <c r="H30" s="2"/>
      <c r="I30" s="2"/>
      <c r="N30"/>
      <c r="O30"/>
      <c r="P30"/>
      <c r="Q30"/>
      <c r="R30"/>
      <c r="S30"/>
      <c r="T30"/>
    </row>
    <row r="31" spans="1:22" ht="17.100000000000001" customHeight="1" x14ac:dyDescent="0.25">
      <c r="C31" s="1"/>
      <c r="H31" s="2"/>
      <c r="I31" s="2"/>
      <c r="N31"/>
      <c r="O31"/>
      <c r="P31"/>
      <c r="Q31"/>
      <c r="R31"/>
      <c r="S31"/>
      <c r="T31"/>
    </row>
    <row r="32" spans="1:22" ht="15.75" x14ac:dyDescent="0.25">
      <c r="C32" s="57">
        <v>0.3</v>
      </c>
      <c r="D32" s="8" t="s">
        <v>9</v>
      </c>
      <c r="E32" s="7">
        <f>AMI_Table!$E$13*'AMI &amp; Rent'!$C32</f>
        <v>46590</v>
      </c>
      <c r="F32" s="9" t="s">
        <v>0</v>
      </c>
      <c r="G32" s="5"/>
      <c r="H32" s="59"/>
      <c r="I32" s="59"/>
      <c r="J32" s="59"/>
      <c r="K32" s="59"/>
      <c r="L32" s="59"/>
      <c r="M32" s="5"/>
      <c r="N32"/>
      <c r="O32"/>
      <c r="P32"/>
      <c r="Q32"/>
      <c r="R32"/>
      <c r="S32"/>
      <c r="T32"/>
    </row>
    <row r="33" spans="3:29" x14ac:dyDescent="0.2">
      <c r="G33"/>
      <c r="H33"/>
      <c r="I33"/>
      <c r="J33" s="10"/>
      <c r="K33" s="11"/>
      <c r="L33" s="12" t="s">
        <v>10</v>
      </c>
      <c r="N33"/>
      <c r="O33"/>
      <c r="P33"/>
      <c r="Q33"/>
      <c r="R33"/>
      <c r="S33"/>
      <c r="T33"/>
    </row>
    <row r="34" spans="3:29" ht="14.25" customHeight="1" x14ac:dyDescent="0.25">
      <c r="C34" s="13"/>
      <c r="D34" s="14"/>
      <c r="E34" s="14"/>
      <c r="F34" s="14"/>
      <c r="G34" s="98" t="s">
        <v>33</v>
      </c>
      <c r="H34" s="98" t="s">
        <v>34</v>
      </c>
      <c r="I34"/>
      <c r="J34" s="15" t="s">
        <v>11</v>
      </c>
      <c r="K34" s="16" t="s">
        <v>12</v>
      </c>
      <c r="L34" s="17" t="s">
        <v>13</v>
      </c>
      <c r="M34" s="3"/>
      <c r="N34"/>
      <c r="O34"/>
      <c r="P34"/>
      <c r="Q34"/>
      <c r="R34"/>
      <c r="S34"/>
      <c r="T34"/>
    </row>
    <row r="35" spans="3:29" ht="30" customHeight="1" x14ac:dyDescent="0.25">
      <c r="C35" s="18"/>
      <c r="D35" s="19"/>
      <c r="E35" s="19"/>
      <c r="F35" s="20" t="s">
        <v>10</v>
      </c>
      <c r="G35" s="99"/>
      <c r="H35" s="99"/>
      <c r="I35"/>
      <c r="J35" s="22">
        <f t="shared" ref="J35:J40" si="1">J36-1</f>
        <v>1</v>
      </c>
      <c r="K35" s="23">
        <v>0.7</v>
      </c>
      <c r="L35" s="7">
        <f>AMI_Table!$B$13*'AMI &amp; Rent'!$C32</f>
        <v>32610</v>
      </c>
      <c r="M35" s="21"/>
      <c r="N35"/>
      <c r="O35"/>
      <c r="P35"/>
      <c r="Q35"/>
      <c r="R35"/>
      <c r="S35"/>
      <c r="T35"/>
      <c r="V35" s="48"/>
    </row>
    <row r="36" spans="3:29" ht="18.95" customHeight="1" x14ac:dyDescent="0.25">
      <c r="C36" s="24"/>
      <c r="D36" s="25" t="s">
        <v>14</v>
      </c>
      <c r="E36" s="26" t="s">
        <v>15</v>
      </c>
      <c r="F36" s="27" t="s">
        <v>13</v>
      </c>
      <c r="G36" s="100"/>
      <c r="H36" s="100"/>
      <c r="I36"/>
      <c r="J36" s="22">
        <f t="shared" si="1"/>
        <v>2</v>
      </c>
      <c r="K36" s="23">
        <f>K35+0.1</f>
        <v>0.79999999999999993</v>
      </c>
      <c r="L36" s="7">
        <f>AMI_Table!$C$13*'AMI &amp; Rent'!$C32</f>
        <v>37290</v>
      </c>
      <c r="M36" s="28"/>
      <c r="N36"/>
      <c r="O36"/>
      <c r="P36"/>
      <c r="Q36"/>
      <c r="R36"/>
      <c r="S36"/>
      <c r="T36"/>
      <c r="V36" s="48"/>
    </row>
    <row r="37" spans="3:29" ht="15.75" x14ac:dyDescent="0.25">
      <c r="C37" s="22" t="s">
        <v>1</v>
      </c>
      <c r="D37" s="29">
        <v>1</v>
      </c>
      <c r="E37" s="30">
        <v>0.7</v>
      </c>
      <c r="F37" s="31">
        <f>AMI_Table!$B$13*'AMI &amp; Rent'!$C32</f>
        <v>32610</v>
      </c>
      <c r="G37" s="7">
        <f t="shared" ref="G37:G42" si="2">ROUNDDOWN(F37*$A$7/12,0)</f>
        <v>815</v>
      </c>
      <c r="H37" s="52">
        <f t="shared" ref="H37:H42" si="3">G37-N17</f>
        <v>730</v>
      </c>
      <c r="I37"/>
      <c r="J37" s="22">
        <f t="shared" si="1"/>
        <v>3</v>
      </c>
      <c r="K37" s="23">
        <f>K36+0.1</f>
        <v>0.89999999999999991</v>
      </c>
      <c r="L37" s="7">
        <f>AMI_Table!$D$13*'AMI &amp; Rent'!$C32</f>
        <v>41940</v>
      </c>
      <c r="M37" s="32"/>
      <c r="N37"/>
      <c r="O37"/>
      <c r="P37"/>
      <c r="Q37"/>
      <c r="R37"/>
      <c r="S37"/>
      <c r="T37"/>
      <c r="V37" s="48"/>
    </row>
    <row r="38" spans="3:29" ht="15.75" x14ac:dyDescent="0.25">
      <c r="C38" s="22" t="s">
        <v>2</v>
      </c>
      <c r="D38" s="29">
        <v>1.5</v>
      </c>
      <c r="E38" s="30">
        <v>0.75</v>
      </c>
      <c r="F38" s="31">
        <f>AVERAGE(L35:L36)</f>
        <v>34950</v>
      </c>
      <c r="G38" s="7">
        <f t="shared" si="2"/>
        <v>873</v>
      </c>
      <c r="H38" s="52">
        <f t="shared" si="3"/>
        <v>776</v>
      </c>
      <c r="I38"/>
      <c r="J38" s="22">
        <f t="shared" si="1"/>
        <v>4</v>
      </c>
      <c r="K38" s="23">
        <f>K37+0.1</f>
        <v>0.99999999999999989</v>
      </c>
      <c r="L38" s="7">
        <f>AMI_Table!$E$13*'AMI &amp; Rent'!$C32</f>
        <v>46590</v>
      </c>
      <c r="M38" s="32"/>
      <c r="N38"/>
      <c r="O38"/>
      <c r="P38"/>
      <c r="Q38"/>
      <c r="R38"/>
      <c r="S38"/>
      <c r="T38"/>
      <c r="V38" s="48"/>
      <c r="W38"/>
      <c r="X38"/>
      <c r="Y38"/>
      <c r="Z38"/>
      <c r="AA38"/>
      <c r="AB38"/>
      <c r="AC38"/>
    </row>
    <row r="39" spans="3:29" ht="15.75" x14ac:dyDescent="0.25">
      <c r="C39" s="22" t="s">
        <v>4</v>
      </c>
      <c r="D39" s="29">
        <v>3</v>
      </c>
      <c r="E39" s="30">
        <v>0.9</v>
      </c>
      <c r="F39" s="31">
        <f>L37</f>
        <v>41940</v>
      </c>
      <c r="G39" s="7">
        <f t="shared" si="2"/>
        <v>1048</v>
      </c>
      <c r="H39" s="52">
        <f t="shared" si="3"/>
        <v>920</v>
      </c>
      <c r="I39"/>
      <c r="J39" s="22">
        <f t="shared" si="1"/>
        <v>5</v>
      </c>
      <c r="K39" s="23">
        <f>K38+0.08</f>
        <v>1.0799999999999998</v>
      </c>
      <c r="L39" s="7">
        <f>AMI_Table!$F$13*'AMI &amp; Rent'!$C32</f>
        <v>50310</v>
      </c>
      <c r="M39" s="32"/>
      <c r="N39"/>
      <c r="O39"/>
      <c r="P39"/>
      <c r="Q39"/>
      <c r="R39"/>
      <c r="S39"/>
      <c r="T39"/>
      <c r="V39" s="48"/>
      <c r="W39"/>
      <c r="X39"/>
      <c r="Y39"/>
      <c r="Z39"/>
      <c r="AA39"/>
      <c r="AB39"/>
      <c r="AC39"/>
    </row>
    <row r="40" spans="3:29" ht="15.75" x14ac:dyDescent="0.25">
      <c r="C40" s="22" t="s">
        <v>5</v>
      </c>
      <c r="D40" s="29">
        <v>4.5</v>
      </c>
      <c r="E40" s="30">
        <v>1.04</v>
      </c>
      <c r="F40" s="31">
        <f>AVERAGE(L38:L39)</f>
        <v>48450</v>
      </c>
      <c r="G40" s="7">
        <f t="shared" si="2"/>
        <v>1211</v>
      </c>
      <c r="H40" s="52">
        <f t="shared" si="3"/>
        <v>1052</v>
      </c>
      <c r="I40"/>
      <c r="J40" s="22">
        <f t="shared" si="1"/>
        <v>6</v>
      </c>
      <c r="K40" s="23">
        <f>K39+0.08</f>
        <v>1.1599999999999999</v>
      </c>
      <c r="L40" s="7">
        <f>AMI_Table!$G$13*'AMI &amp; Rent'!$C32</f>
        <v>54030</v>
      </c>
      <c r="M40" s="32"/>
      <c r="N40"/>
      <c r="O40"/>
      <c r="P40"/>
      <c r="Q40"/>
      <c r="R40"/>
      <c r="S40"/>
      <c r="T40"/>
      <c r="V40" s="48"/>
      <c r="W40" s="33"/>
      <c r="X40" s="33"/>
      <c r="Y40" s="33"/>
      <c r="Z40" s="33"/>
      <c r="AA40" s="33"/>
    </row>
    <row r="41" spans="3:29" ht="15.75" x14ac:dyDescent="0.25">
      <c r="C41" s="22" t="s">
        <v>6</v>
      </c>
      <c r="D41" s="29">
        <v>6</v>
      </c>
      <c r="E41" s="30">
        <v>1.1599999999999999</v>
      </c>
      <c r="F41" s="31">
        <f>L40</f>
        <v>54030</v>
      </c>
      <c r="G41" s="7">
        <f t="shared" si="2"/>
        <v>1350</v>
      </c>
      <c r="H41" s="52">
        <f t="shared" si="3"/>
        <v>1159</v>
      </c>
      <c r="I41"/>
      <c r="J41" s="22">
        <f>J42-1</f>
        <v>7</v>
      </c>
      <c r="K41" s="23">
        <f>K40+0.08</f>
        <v>1.24</v>
      </c>
      <c r="L41" s="7">
        <f>AMI_Table!$H$13*'AMI &amp; Rent'!$C32</f>
        <v>57780</v>
      </c>
      <c r="M41" s="32"/>
      <c r="N41"/>
      <c r="O41"/>
      <c r="P41"/>
      <c r="Q41"/>
      <c r="R41"/>
      <c r="S41"/>
      <c r="T41"/>
      <c r="V41" s="48"/>
    </row>
    <row r="42" spans="3:29" ht="15.75" x14ac:dyDescent="0.25">
      <c r="C42" s="22" t="s">
        <v>7</v>
      </c>
      <c r="D42" s="29">
        <v>7.5</v>
      </c>
      <c r="E42" s="30">
        <f>1.28</f>
        <v>1.28</v>
      </c>
      <c r="F42" s="31">
        <f>AVERAGE(L41:L42)</f>
        <v>59640</v>
      </c>
      <c r="G42" s="7">
        <f t="shared" si="2"/>
        <v>1491</v>
      </c>
      <c r="H42" s="52">
        <f t="shared" si="3"/>
        <v>1268</v>
      </c>
      <c r="I42"/>
      <c r="J42" s="22">
        <v>8</v>
      </c>
      <c r="K42" s="23">
        <f>K41+0.08</f>
        <v>1.32</v>
      </c>
      <c r="L42" s="7">
        <f>AMI_Table!$I$13*'AMI &amp; Rent'!$C32</f>
        <v>61500</v>
      </c>
      <c r="M42" s="32"/>
      <c r="N42"/>
      <c r="O42"/>
      <c r="P42"/>
      <c r="Q42"/>
      <c r="R42"/>
      <c r="S42"/>
      <c r="T42"/>
      <c r="V42" s="48"/>
    </row>
    <row r="43" spans="3:29" ht="15.75" x14ac:dyDescent="0.25">
      <c r="C43" s="1"/>
      <c r="H43"/>
      <c r="I43"/>
      <c r="J43" s="2"/>
      <c r="N43"/>
      <c r="O43"/>
      <c r="P43"/>
      <c r="Q43"/>
      <c r="R43"/>
      <c r="S43"/>
      <c r="T43"/>
    </row>
    <row r="44" spans="3:29" ht="15.75" x14ac:dyDescent="0.25">
      <c r="C44" s="1"/>
      <c r="G44" s="61"/>
      <c r="H44" s="62"/>
      <c r="I44" s="62"/>
      <c r="J44" s="63"/>
      <c r="K44" s="63"/>
      <c r="L44" s="63"/>
      <c r="M44" s="63"/>
      <c r="N44"/>
      <c r="O44"/>
      <c r="P44"/>
      <c r="Q44"/>
      <c r="R44"/>
      <c r="S44"/>
      <c r="T44"/>
    </row>
    <row r="45" spans="3:29" ht="15.75" x14ac:dyDescent="0.25">
      <c r="C45" s="57">
        <v>0.4</v>
      </c>
      <c r="D45" s="8" t="s">
        <v>9</v>
      </c>
      <c r="E45" s="7">
        <f>AMI_Table!$E$13*'AMI &amp; Rent'!$C45</f>
        <v>62120</v>
      </c>
      <c r="F45" s="9" t="s">
        <v>0</v>
      </c>
      <c r="G45" s="2"/>
      <c r="H45"/>
      <c r="I45"/>
      <c r="J45" s="2"/>
      <c r="N45"/>
      <c r="O45"/>
      <c r="P45"/>
      <c r="Q45"/>
      <c r="R45"/>
      <c r="S45"/>
      <c r="T45"/>
    </row>
    <row r="46" spans="3:29" x14ac:dyDescent="0.2">
      <c r="G46"/>
      <c r="H46"/>
      <c r="I46"/>
      <c r="J46" s="10"/>
      <c r="K46" s="11"/>
      <c r="L46" s="12" t="s">
        <v>10</v>
      </c>
      <c r="N46"/>
      <c r="O46"/>
      <c r="P46"/>
      <c r="Q46"/>
      <c r="R46"/>
      <c r="S46"/>
      <c r="T46"/>
    </row>
    <row r="47" spans="3:29" ht="15.75" customHeight="1" x14ac:dyDescent="0.25">
      <c r="C47" s="13"/>
      <c r="D47" s="14"/>
      <c r="E47" s="14"/>
      <c r="F47" s="14"/>
      <c r="G47" s="98" t="s">
        <v>33</v>
      </c>
      <c r="H47" s="98" t="s">
        <v>34</v>
      </c>
      <c r="I47"/>
      <c r="J47" s="15" t="s">
        <v>11</v>
      </c>
      <c r="K47" s="16" t="s">
        <v>12</v>
      </c>
      <c r="L47" s="17" t="s">
        <v>13</v>
      </c>
      <c r="M47" s="3"/>
      <c r="N47"/>
      <c r="O47"/>
      <c r="P47"/>
      <c r="Q47"/>
      <c r="R47"/>
      <c r="S47"/>
      <c r="T47"/>
    </row>
    <row r="48" spans="3:29" ht="26.1" customHeight="1" x14ac:dyDescent="0.25">
      <c r="C48" s="18"/>
      <c r="D48" s="19"/>
      <c r="E48" s="19"/>
      <c r="F48" s="20" t="s">
        <v>10</v>
      </c>
      <c r="G48" s="99"/>
      <c r="H48" s="99"/>
      <c r="I48"/>
      <c r="J48" s="22">
        <f t="shared" ref="J48:J53" si="4">J49-1</f>
        <v>1</v>
      </c>
      <c r="K48" s="23">
        <v>0.7</v>
      </c>
      <c r="L48" s="7">
        <f>AMI_Table!$B$13*'AMI &amp; Rent'!$C45</f>
        <v>43480</v>
      </c>
      <c r="M48" s="21"/>
      <c r="N48"/>
      <c r="O48"/>
      <c r="P48"/>
      <c r="Q48"/>
      <c r="R48"/>
      <c r="S48"/>
      <c r="T48"/>
    </row>
    <row r="49" spans="3:27" ht="21" customHeight="1" x14ac:dyDescent="0.25">
      <c r="C49" s="24"/>
      <c r="D49" s="25" t="s">
        <v>14</v>
      </c>
      <c r="E49" s="26" t="s">
        <v>15</v>
      </c>
      <c r="F49" s="27" t="s">
        <v>13</v>
      </c>
      <c r="G49" s="100"/>
      <c r="H49" s="100"/>
      <c r="I49"/>
      <c r="J49" s="22">
        <f t="shared" si="4"/>
        <v>2</v>
      </c>
      <c r="K49" s="23">
        <f>K48+0.1</f>
        <v>0.79999999999999993</v>
      </c>
      <c r="L49" s="7">
        <f>AMI_Table!$C$13*'AMI &amp; Rent'!$C45</f>
        <v>49720</v>
      </c>
      <c r="M49" s="28"/>
      <c r="N49"/>
      <c r="O49"/>
      <c r="P49"/>
      <c r="Q49"/>
      <c r="R49"/>
      <c r="S49"/>
      <c r="T49"/>
    </row>
    <row r="50" spans="3:27" ht="15.75" x14ac:dyDescent="0.25">
      <c r="C50" s="22" t="s">
        <v>1</v>
      </c>
      <c r="D50" s="29">
        <v>1</v>
      </c>
      <c r="E50" s="30">
        <v>0.7</v>
      </c>
      <c r="F50" s="31">
        <f>AMI_Table!$B$13*'AMI &amp; Rent'!$C45</f>
        <v>43480</v>
      </c>
      <c r="G50" s="7">
        <f t="shared" ref="G50:G55" si="5">ROUNDDOWN(F50*$A$7/12,0)</f>
        <v>1087</v>
      </c>
      <c r="H50" s="52">
        <f t="shared" ref="H50:H55" si="6">G50-N17</f>
        <v>1002</v>
      </c>
      <c r="I50"/>
      <c r="J50" s="22">
        <f t="shared" si="4"/>
        <v>3</v>
      </c>
      <c r="K50" s="23">
        <f>K49+0.1</f>
        <v>0.89999999999999991</v>
      </c>
      <c r="L50" s="7">
        <f>AMI_Table!$D$13*'AMI &amp; Rent'!$C45</f>
        <v>55920</v>
      </c>
      <c r="M50" s="32"/>
      <c r="N50"/>
      <c r="O50"/>
      <c r="P50"/>
      <c r="Q50"/>
      <c r="R50"/>
      <c r="S50"/>
      <c r="T50"/>
    </row>
    <row r="51" spans="3:27" ht="15.75" x14ac:dyDescent="0.25">
      <c r="C51" s="22" t="s">
        <v>2</v>
      </c>
      <c r="D51" s="29">
        <v>1.5</v>
      </c>
      <c r="E51" s="30">
        <v>0.75</v>
      </c>
      <c r="F51" s="31">
        <f>AVERAGE(L48:L49)</f>
        <v>46600</v>
      </c>
      <c r="G51" s="7">
        <f t="shared" si="5"/>
        <v>1165</v>
      </c>
      <c r="H51" s="52">
        <f t="shared" si="6"/>
        <v>1068</v>
      </c>
      <c r="I51"/>
      <c r="J51" s="22">
        <f t="shared" si="4"/>
        <v>4</v>
      </c>
      <c r="K51" s="23">
        <f>K50+0.1</f>
        <v>0.99999999999999989</v>
      </c>
      <c r="L51" s="7">
        <f>AMI_Table!$E$13*'AMI &amp; Rent'!$C45</f>
        <v>62120</v>
      </c>
      <c r="M51" s="32"/>
      <c r="N51"/>
      <c r="O51"/>
      <c r="P51"/>
      <c r="Q51"/>
      <c r="R51"/>
      <c r="S51"/>
      <c r="T51"/>
      <c r="W51" s="33"/>
      <c r="X51" s="33"/>
      <c r="Y51" s="33"/>
      <c r="Z51" s="33"/>
      <c r="AA51" s="33"/>
    </row>
    <row r="52" spans="3:27" ht="15.75" x14ac:dyDescent="0.25">
      <c r="C52" s="22" t="s">
        <v>4</v>
      </c>
      <c r="D52" s="29">
        <v>3</v>
      </c>
      <c r="E52" s="30">
        <v>0.9</v>
      </c>
      <c r="F52" s="31">
        <f>L50</f>
        <v>55920</v>
      </c>
      <c r="G52" s="7">
        <f t="shared" si="5"/>
        <v>1398</v>
      </c>
      <c r="H52" s="52">
        <f t="shared" si="6"/>
        <v>1270</v>
      </c>
      <c r="I52"/>
      <c r="J52" s="22">
        <f t="shared" si="4"/>
        <v>5</v>
      </c>
      <c r="K52" s="23">
        <f>K51+0.08</f>
        <v>1.0799999999999998</v>
      </c>
      <c r="L52" s="7">
        <f>AMI_Table!$F$13*'AMI &amp; Rent'!$C45</f>
        <v>67080</v>
      </c>
      <c r="M52" s="32"/>
      <c r="N52"/>
      <c r="O52"/>
      <c r="P52"/>
      <c r="Q52"/>
      <c r="R52"/>
      <c r="S52"/>
      <c r="T52"/>
      <c r="W52" s="33"/>
      <c r="X52" s="33"/>
      <c r="Y52" s="33"/>
      <c r="Z52" s="33"/>
      <c r="AA52" s="33"/>
    </row>
    <row r="53" spans="3:27" ht="15.75" x14ac:dyDescent="0.25">
      <c r="C53" s="22" t="s">
        <v>5</v>
      </c>
      <c r="D53" s="29">
        <v>4.5</v>
      </c>
      <c r="E53" s="30">
        <v>1.04</v>
      </c>
      <c r="F53" s="31">
        <f>AVERAGE(L51:L52)</f>
        <v>64600</v>
      </c>
      <c r="G53" s="7">
        <f t="shared" si="5"/>
        <v>1615</v>
      </c>
      <c r="H53" s="52">
        <f t="shared" si="6"/>
        <v>1456</v>
      </c>
      <c r="I53"/>
      <c r="J53" s="22">
        <f t="shared" si="4"/>
        <v>6</v>
      </c>
      <c r="K53" s="23">
        <f>K52+0.08</f>
        <v>1.1599999999999999</v>
      </c>
      <c r="L53" s="7">
        <f>AMI_Table!$G$13*'AMI &amp; Rent'!$C45</f>
        <v>72040</v>
      </c>
      <c r="M53" s="32"/>
      <c r="N53"/>
      <c r="O53"/>
      <c r="P53"/>
      <c r="Q53"/>
      <c r="R53"/>
      <c r="S53"/>
      <c r="T53"/>
      <c r="W53" s="33"/>
      <c r="X53" s="33"/>
      <c r="Y53" s="33"/>
      <c r="Z53" s="33"/>
      <c r="AA53" s="33"/>
    </row>
    <row r="54" spans="3:27" ht="15.75" x14ac:dyDescent="0.25">
      <c r="C54" s="22" t="s">
        <v>6</v>
      </c>
      <c r="D54" s="29">
        <v>6</v>
      </c>
      <c r="E54" s="30">
        <v>1.1599999999999999</v>
      </c>
      <c r="F54" s="31">
        <f>L53</f>
        <v>72040</v>
      </c>
      <c r="G54" s="7">
        <f t="shared" si="5"/>
        <v>1801</v>
      </c>
      <c r="H54" s="52">
        <f t="shared" si="6"/>
        <v>1610</v>
      </c>
      <c r="I54"/>
      <c r="J54" s="22">
        <f>J55-1</f>
        <v>7</v>
      </c>
      <c r="K54" s="23">
        <f>K53+0.08</f>
        <v>1.24</v>
      </c>
      <c r="L54" s="7">
        <f>AMI_Table!$H$13*'AMI &amp; Rent'!$C45</f>
        <v>77040</v>
      </c>
      <c r="M54" s="32"/>
      <c r="N54"/>
      <c r="O54"/>
      <c r="P54"/>
      <c r="Q54"/>
      <c r="R54"/>
      <c r="S54"/>
      <c r="T54"/>
    </row>
    <row r="55" spans="3:27" ht="15.75" x14ac:dyDescent="0.25">
      <c r="C55" s="22" t="s">
        <v>7</v>
      </c>
      <c r="D55" s="29">
        <v>7.5</v>
      </c>
      <c r="E55" s="30">
        <f>1.28</f>
        <v>1.28</v>
      </c>
      <c r="F55" s="31">
        <f>AVERAGE(L54:L55)</f>
        <v>79520</v>
      </c>
      <c r="G55" s="7">
        <f t="shared" si="5"/>
        <v>1988</v>
      </c>
      <c r="H55" s="52">
        <f t="shared" si="6"/>
        <v>1765</v>
      </c>
      <c r="I55"/>
      <c r="J55" s="22">
        <v>8</v>
      </c>
      <c r="K55" s="23">
        <f>K54+0.08</f>
        <v>1.32</v>
      </c>
      <c r="L55" s="7">
        <f>AMI_Table!$I$13*'AMI &amp; Rent'!$C45</f>
        <v>82000</v>
      </c>
      <c r="M55" s="32"/>
      <c r="N55"/>
      <c r="O55"/>
      <c r="P55"/>
      <c r="Q55"/>
      <c r="R55"/>
      <c r="S55"/>
      <c r="T55"/>
    </row>
    <row r="56" spans="3:27" x14ac:dyDescent="0.2">
      <c r="F56" s="34"/>
      <c r="H56"/>
      <c r="I56"/>
      <c r="J56" s="2"/>
      <c r="N56"/>
      <c r="O56"/>
      <c r="P56"/>
      <c r="Q56"/>
      <c r="R56"/>
      <c r="S56"/>
      <c r="T56"/>
    </row>
    <row r="57" spans="3:27" x14ac:dyDescent="0.2">
      <c r="F57" s="34"/>
      <c r="H57" s="62"/>
      <c r="I57" s="62"/>
      <c r="J57" s="63"/>
      <c r="K57" s="63"/>
      <c r="L57" s="63"/>
      <c r="M57" s="63"/>
      <c r="N57"/>
      <c r="O57"/>
      <c r="P57"/>
      <c r="Q57"/>
      <c r="R57"/>
      <c r="S57"/>
      <c r="T57"/>
    </row>
    <row r="58" spans="3:27" ht="15.75" x14ac:dyDescent="0.25">
      <c r="C58" s="57">
        <v>0.5</v>
      </c>
      <c r="D58" s="8" t="s">
        <v>9</v>
      </c>
      <c r="E58" s="7">
        <f>AMI_Table!$E$13*'AMI &amp; Rent'!$C58</f>
        <v>77650</v>
      </c>
      <c r="F58" s="9" t="s">
        <v>0</v>
      </c>
      <c r="G58" s="5"/>
      <c r="H58"/>
      <c r="I58"/>
      <c r="J58" s="2"/>
      <c r="N58"/>
      <c r="O58"/>
      <c r="P58"/>
      <c r="Q58"/>
      <c r="R58"/>
      <c r="S58"/>
      <c r="T58"/>
    </row>
    <row r="59" spans="3:27" ht="16.5" customHeight="1" x14ac:dyDescent="0.2">
      <c r="G59"/>
      <c r="H59"/>
      <c r="I59"/>
      <c r="J59" s="10"/>
      <c r="K59" s="11"/>
      <c r="L59" s="12" t="s">
        <v>10</v>
      </c>
      <c r="N59"/>
      <c r="O59"/>
      <c r="P59"/>
      <c r="Q59"/>
      <c r="R59"/>
      <c r="S59"/>
      <c r="T59"/>
    </row>
    <row r="60" spans="3:27" ht="19.5" customHeight="1" x14ac:dyDescent="0.25">
      <c r="C60" s="13"/>
      <c r="D60" s="14"/>
      <c r="E60" s="14"/>
      <c r="F60" s="14"/>
      <c r="G60" s="98" t="s">
        <v>33</v>
      </c>
      <c r="H60" s="98" t="s">
        <v>34</v>
      </c>
      <c r="I60"/>
      <c r="J60" s="15" t="s">
        <v>11</v>
      </c>
      <c r="K60" s="16" t="s">
        <v>12</v>
      </c>
      <c r="L60" s="17" t="s">
        <v>13</v>
      </c>
      <c r="M60" s="3"/>
      <c r="N60"/>
      <c r="O60"/>
      <c r="P60"/>
      <c r="Q60"/>
      <c r="R60"/>
      <c r="S60"/>
      <c r="T60"/>
    </row>
    <row r="61" spans="3:27" ht="22.5" customHeight="1" x14ac:dyDescent="0.25">
      <c r="C61" s="18"/>
      <c r="D61" s="19"/>
      <c r="E61" s="19"/>
      <c r="F61" s="20" t="s">
        <v>10</v>
      </c>
      <c r="G61" s="99"/>
      <c r="H61" s="99"/>
      <c r="I61"/>
      <c r="J61" s="22">
        <f t="shared" ref="J61:J66" si="7">J62-1</f>
        <v>1</v>
      </c>
      <c r="K61" s="23">
        <v>0.7</v>
      </c>
      <c r="L61" s="7">
        <f>AMI_Table!$B$13*'AMI &amp; Rent'!$C58</f>
        <v>54350</v>
      </c>
      <c r="M61" s="21"/>
      <c r="N61"/>
      <c r="O61"/>
      <c r="P61"/>
      <c r="Q61"/>
      <c r="R61"/>
      <c r="S61"/>
      <c r="T61"/>
    </row>
    <row r="62" spans="3:27" ht="30" customHeight="1" x14ac:dyDescent="0.25">
      <c r="C62" s="24"/>
      <c r="D62" s="25" t="s">
        <v>14</v>
      </c>
      <c r="E62" s="26" t="s">
        <v>15</v>
      </c>
      <c r="F62" s="27" t="s">
        <v>13</v>
      </c>
      <c r="G62" s="100"/>
      <c r="H62" s="100"/>
      <c r="I62"/>
      <c r="J62" s="22">
        <f t="shared" si="7"/>
        <v>2</v>
      </c>
      <c r="K62" s="23">
        <f>K61+0.1</f>
        <v>0.79999999999999993</v>
      </c>
      <c r="L62" s="7">
        <f>AMI_Table!$C$13*'AMI &amp; Rent'!$C58</f>
        <v>62150</v>
      </c>
      <c r="M62" s="28"/>
      <c r="N62"/>
      <c r="O62"/>
      <c r="P62"/>
      <c r="Q62"/>
      <c r="R62"/>
      <c r="S62"/>
      <c r="T62"/>
    </row>
    <row r="63" spans="3:27" ht="15.75" x14ac:dyDescent="0.25">
      <c r="C63" s="22" t="s">
        <v>1</v>
      </c>
      <c r="D63" s="29">
        <v>1</v>
      </c>
      <c r="E63" s="30">
        <v>0.7</v>
      </c>
      <c r="F63" s="31">
        <f>AMI_Table!$B$13*'AMI &amp; Rent'!$C58</f>
        <v>54350</v>
      </c>
      <c r="G63" s="7">
        <f t="shared" ref="G63:G68" si="8">ROUNDDOWN(F63*$A$7/12,0)</f>
        <v>1358</v>
      </c>
      <c r="H63" s="52">
        <f t="shared" ref="H63:H68" si="9">G63-N17</f>
        <v>1273</v>
      </c>
      <c r="I63"/>
      <c r="J63" s="22">
        <f t="shared" si="7"/>
        <v>3</v>
      </c>
      <c r="K63" s="23">
        <f>K62+0.1</f>
        <v>0.89999999999999991</v>
      </c>
      <c r="L63" s="7">
        <f>AMI_Table!$D$13*'AMI &amp; Rent'!$C58</f>
        <v>69900</v>
      </c>
      <c r="M63" s="32"/>
      <c r="N63"/>
      <c r="O63"/>
      <c r="P63"/>
      <c r="Q63"/>
      <c r="R63"/>
      <c r="S63"/>
      <c r="T63"/>
    </row>
    <row r="64" spans="3:27" ht="15.75" x14ac:dyDescent="0.25">
      <c r="C64" s="22" t="s">
        <v>2</v>
      </c>
      <c r="D64" s="29">
        <v>1.5</v>
      </c>
      <c r="E64" s="30">
        <v>0.75</v>
      </c>
      <c r="F64" s="31">
        <f>AVERAGE(L61:L62)</f>
        <v>58250</v>
      </c>
      <c r="G64" s="7">
        <f t="shared" si="8"/>
        <v>1456</v>
      </c>
      <c r="H64" s="52">
        <f t="shared" si="9"/>
        <v>1359</v>
      </c>
      <c r="I64"/>
      <c r="J64" s="22">
        <f t="shared" si="7"/>
        <v>4</v>
      </c>
      <c r="K64" s="23">
        <f>K63+0.1</f>
        <v>0.99999999999999989</v>
      </c>
      <c r="L64" s="7">
        <f>AMI_Table!$E$13*'AMI &amp; Rent'!$C58</f>
        <v>77650</v>
      </c>
      <c r="M64" s="32"/>
      <c r="N64"/>
      <c r="O64"/>
      <c r="P64"/>
      <c r="Q64"/>
      <c r="R64"/>
      <c r="S64"/>
      <c r="T64"/>
    </row>
    <row r="65" spans="3:20" ht="15.75" x14ac:dyDescent="0.25">
      <c r="C65" s="22" t="s">
        <v>4</v>
      </c>
      <c r="D65" s="29">
        <v>3</v>
      </c>
      <c r="E65" s="30">
        <v>0.9</v>
      </c>
      <c r="F65" s="31">
        <f>L63</f>
        <v>69900</v>
      </c>
      <c r="G65" s="7">
        <f t="shared" si="8"/>
        <v>1747</v>
      </c>
      <c r="H65" s="52">
        <f t="shared" si="9"/>
        <v>1619</v>
      </c>
      <c r="I65"/>
      <c r="J65" s="22">
        <f t="shared" si="7"/>
        <v>5</v>
      </c>
      <c r="K65" s="23">
        <f>K64+0.08</f>
        <v>1.0799999999999998</v>
      </c>
      <c r="L65" s="7">
        <f>AMI_Table!$F$13*'AMI &amp; Rent'!$C58</f>
        <v>83850</v>
      </c>
      <c r="M65" s="32"/>
      <c r="N65"/>
      <c r="O65"/>
      <c r="P65"/>
      <c r="Q65"/>
      <c r="R65"/>
      <c r="S65"/>
      <c r="T65"/>
    </row>
    <row r="66" spans="3:20" ht="15.75" x14ac:dyDescent="0.25">
      <c r="C66" s="22" t="s">
        <v>5</v>
      </c>
      <c r="D66" s="29">
        <v>4.5</v>
      </c>
      <c r="E66" s="30">
        <v>1.04</v>
      </c>
      <c r="F66" s="31">
        <f>AVERAGE(L64:L65)</f>
        <v>80750</v>
      </c>
      <c r="G66" s="7">
        <f t="shared" si="8"/>
        <v>2018</v>
      </c>
      <c r="H66" s="52">
        <f t="shared" si="9"/>
        <v>1859</v>
      </c>
      <c r="I66"/>
      <c r="J66" s="22">
        <f t="shared" si="7"/>
        <v>6</v>
      </c>
      <c r="K66" s="23">
        <f>K65+0.08</f>
        <v>1.1599999999999999</v>
      </c>
      <c r="L66" s="7">
        <f>AMI_Table!$G$13*'AMI &amp; Rent'!$C58</f>
        <v>90050</v>
      </c>
      <c r="M66" s="32"/>
      <c r="N66"/>
      <c r="O66"/>
      <c r="P66"/>
      <c r="Q66"/>
      <c r="R66"/>
      <c r="S66"/>
      <c r="T66"/>
    </row>
    <row r="67" spans="3:20" ht="15.75" x14ac:dyDescent="0.25">
      <c r="C67" s="22" t="s">
        <v>6</v>
      </c>
      <c r="D67" s="29">
        <v>6</v>
      </c>
      <c r="E67" s="30">
        <v>1.1599999999999999</v>
      </c>
      <c r="F67" s="31">
        <f>L66</f>
        <v>90050</v>
      </c>
      <c r="G67" s="7">
        <f t="shared" si="8"/>
        <v>2251</v>
      </c>
      <c r="H67" s="52">
        <f t="shared" si="9"/>
        <v>2060</v>
      </c>
      <c r="I67"/>
      <c r="J67" s="22">
        <f>J68-1</f>
        <v>7</v>
      </c>
      <c r="K67" s="23">
        <f>K66+0.08</f>
        <v>1.24</v>
      </c>
      <c r="L67" s="7">
        <f>AMI_Table!$H$13*'AMI &amp; Rent'!$C58</f>
        <v>96300</v>
      </c>
      <c r="M67" s="32"/>
      <c r="N67"/>
      <c r="O67"/>
      <c r="P67"/>
      <c r="Q67"/>
      <c r="R67"/>
      <c r="S67"/>
      <c r="T67"/>
    </row>
    <row r="68" spans="3:20" ht="15.75" x14ac:dyDescent="0.25">
      <c r="C68" s="22" t="s">
        <v>7</v>
      </c>
      <c r="D68" s="29">
        <v>7.5</v>
      </c>
      <c r="E68" s="30">
        <f>1.28</f>
        <v>1.28</v>
      </c>
      <c r="F68" s="31">
        <f>AVERAGE(L67:L68)</f>
        <v>99400</v>
      </c>
      <c r="G68" s="7">
        <f t="shared" si="8"/>
        <v>2485</v>
      </c>
      <c r="H68" s="52">
        <f t="shared" si="9"/>
        <v>2262</v>
      </c>
      <c r="I68"/>
      <c r="J68" s="22">
        <v>8</v>
      </c>
      <c r="K68" s="23">
        <f>K67+0.08</f>
        <v>1.32</v>
      </c>
      <c r="L68" s="7">
        <f>AMI_Table!$I$13*'AMI &amp; Rent'!$C58</f>
        <v>102500</v>
      </c>
      <c r="M68" s="32"/>
      <c r="N68"/>
      <c r="O68"/>
      <c r="P68"/>
      <c r="Q68"/>
      <c r="R68"/>
      <c r="S68"/>
      <c r="T68"/>
    </row>
    <row r="69" spans="3:20" x14ac:dyDescent="0.2">
      <c r="H69"/>
      <c r="I69"/>
      <c r="J69" s="2"/>
      <c r="N69"/>
      <c r="O69"/>
      <c r="P69"/>
      <c r="Q69"/>
      <c r="R69"/>
      <c r="S69"/>
      <c r="T69"/>
    </row>
    <row r="70" spans="3:20" x14ac:dyDescent="0.2">
      <c r="G70" s="61"/>
      <c r="H70" s="62"/>
      <c r="I70" s="62"/>
      <c r="J70" s="63"/>
      <c r="K70" s="63"/>
      <c r="L70" s="63"/>
      <c r="M70" s="63"/>
      <c r="N70"/>
      <c r="O70"/>
      <c r="P70"/>
      <c r="Q70"/>
      <c r="R70"/>
      <c r="S70"/>
      <c r="T70"/>
    </row>
    <row r="71" spans="3:20" ht="15.75" x14ac:dyDescent="0.25">
      <c r="C71" s="57">
        <v>0.6</v>
      </c>
      <c r="D71" s="8" t="s">
        <v>9</v>
      </c>
      <c r="E71" s="7">
        <f>AMI_Table!$E$13*'AMI &amp; Rent'!$C71</f>
        <v>93180</v>
      </c>
      <c r="F71" s="9" t="s">
        <v>0</v>
      </c>
      <c r="G71" s="2"/>
      <c r="H71"/>
      <c r="I71"/>
      <c r="J71" s="2"/>
      <c r="N71"/>
      <c r="O71"/>
      <c r="P71"/>
      <c r="Q71"/>
      <c r="R71"/>
      <c r="S71"/>
      <c r="T71"/>
    </row>
    <row r="72" spans="3:20" x14ac:dyDescent="0.2">
      <c r="D72" s="36"/>
      <c r="G72"/>
      <c r="H72"/>
      <c r="I72"/>
      <c r="J72" s="10"/>
      <c r="K72" s="11"/>
      <c r="L72" s="12" t="s">
        <v>10</v>
      </c>
      <c r="N72"/>
      <c r="O72"/>
      <c r="P72"/>
      <c r="Q72"/>
      <c r="R72"/>
      <c r="S72"/>
      <c r="T72"/>
    </row>
    <row r="73" spans="3:20" ht="15.75" customHeight="1" x14ac:dyDescent="0.25">
      <c r="C73" s="13"/>
      <c r="D73" s="14"/>
      <c r="E73" s="14"/>
      <c r="F73" s="14"/>
      <c r="G73" s="98" t="s">
        <v>33</v>
      </c>
      <c r="H73" s="98" t="s">
        <v>34</v>
      </c>
      <c r="I73"/>
      <c r="J73" s="15" t="s">
        <v>11</v>
      </c>
      <c r="K73" s="16" t="s">
        <v>12</v>
      </c>
      <c r="L73" s="17" t="s">
        <v>13</v>
      </c>
      <c r="M73" s="3"/>
      <c r="N73"/>
      <c r="O73"/>
      <c r="P73"/>
      <c r="Q73"/>
      <c r="R73"/>
      <c r="S73"/>
      <c r="T73"/>
    </row>
    <row r="74" spans="3:20" ht="15.75" x14ac:dyDescent="0.25">
      <c r="C74" s="18"/>
      <c r="D74" s="19"/>
      <c r="E74" s="19"/>
      <c r="F74" s="20" t="s">
        <v>10</v>
      </c>
      <c r="G74" s="99"/>
      <c r="H74" s="99"/>
      <c r="I74"/>
      <c r="J74" s="22">
        <f t="shared" ref="J74:J79" si="10">J75-1</f>
        <v>1</v>
      </c>
      <c r="K74" s="23">
        <v>0.7</v>
      </c>
      <c r="L74" s="7">
        <f>AMI_Table!$B$13*'AMI &amp; Rent'!$C71</f>
        <v>65220</v>
      </c>
      <c r="M74" s="21"/>
      <c r="N74"/>
      <c r="O74"/>
      <c r="P74"/>
      <c r="Q74"/>
      <c r="R74"/>
      <c r="S74"/>
      <c r="T74"/>
    </row>
    <row r="75" spans="3:20" ht="36.950000000000003" customHeight="1" x14ac:dyDescent="0.25">
      <c r="C75" s="24"/>
      <c r="D75" s="25" t="s">
        <v>14</v>
      </c>
      <c r="E75" s="26" t="s">
        <v>15</v>
      </c>
      <c r="F75" s="27" t="s">
        <v>13</v>
      </c>
      <c r="G75" s="100"/>
      <c r="H75" s="100"/>
      <c r="I75"/>
      <c r="J75" s="22">
        <f t="shared" si="10"/>
        <v>2</v>
      </c>
      <c r="K75" s="23">
        <f>K74+0.1</f>
        <v>0.79999999999999993</v>
      </c>
      <c r="L75" s="7">
        <f>AMI_Table!$C$13*'AMI &amp; Rent'!$C71</f>
        <v>74580</v>
      </c>
      <c r="M75" s="28"/>
      <c r="N75"/>
      <c r="O75"/>
      <c r="P75"/>
      <c r="Q75"/>
      <c r="R75"/>
      <c r="S75"/>
      <c r="T75"/>
    </row>
    <row r="76" spans="3:20" ht="15.75" x14ac:dyDescent="0.25">
      <c r="C76" s="22" t="s">
        <v>1</v>
      </c>
      <c r="D76" s="29">
        <v>1</v>
      </c>
      <c r="E76" s="30">
        <v>0.7</v>
      </c>
      <c r="F76" s="31">
        <f>AMI_Table!$B$13*'AMI &amp; Rent'!$C71</f>
        <v>65220</v>
      </c>
      <c r="G76" s="7">
        <f t="shared" ref="G76:G81" si="11">ROUNDDOWN(F76*$A$7/12,0)</f>
        <v>1630</v>
      </c>
      <c r="H76" s="52">
        <f t="shared" ref="H76:H81" si="12">G76-N17</f>
        <v>1545</v>
      </c>
      <c r="I76"/>
      <c r="J76" s="22">
        <f t="shared" si="10"/>
        <v>3</v>
      </c>
      <c r="K76" s="23">
        <f>K75+0.1</f>
        <v>0.89999999999999991</v>
      </c>
      <c r="L76" s="7">
        <f>AMI_Table!$D$13*'AMI &amp; Rent'!$C71</f>
        <v>83880</v>
      </c>
      <c r="M76" s="32"/>
      <c r="N76"/>
      <c r="O76"/>
      <c r="P76"/>
      <c r="Q76"/>
      <c r="R76"/>
      <c r="S76"/>
      <c r="T76"/>
    </row>
    <row r="77" spans="3:20" ht="15.75" x14ac:dyDescent="0.25">
      <c r="C77" s="22" t="s">
        <v>2</v>
      </c>
      <c r="D77" s="29">
        <v>1.5</v>
      </c>
      <c r="E77" s="30">
        <v>0.75</v>
      </c>
      <c r="F77" s="31">
        <f>AVERAGE(L74:L75)</f>
        <v>69900</v>
      </c>
      <c r="G77" s="7">
        <f t="shared" si="11"/>
        <v>1747</v>
      </c>
      <c r="H77" s="52">
        <f t="shared" si="12"/>
        <v>1650</v>
      </c>
      <c r="I77"/>
      <c r="J77" s="22">
        <f t="shared" si="10"/>
        <v>4</v>
      </c>
      <c r="K77" s="23">
        <f>K76+0.1</f>
        <v>0.99999999999999989</v>
      </c>
      <c r="L77" s="7">
        <f>AMI_Table!$E$13*'AMI &amp; Rent'!$C71</f>
        <v>93180</v>
      </c>
      <c r="M77" s="32"/>
      <c r="N77"/>
      <c r="O77"/>
      <c r="P77"/>
      <c r="Q77"/>
      <c r="R77"/>
      <c r="S77"/>
      <c r="T77"/>
    </row>
    <row r="78" spans="3:20" ht="15.75" x14ac:dyDescent="0.25">
      <c r="C78" s="22" t="s">
        <v>4</v>
      </c>
      <c r="D78" s="29">
        <v>3</v>
      </c>
      <c r="E78" s="30">
        <v>0.9</v>
      </c>
      <c r="F78" s="31">
        <f>L76</f>
        <v>83880</v>
      </c>
      <c r="G78" s="7">
        <f t="shared" si="11"/>
        <v>2097</v>
      </c>
      <c r="H78" s="52">
        <f t="shared" si="12"/>
        <v>1969</v>
      </c>
      <c r="I78"/>
      <c r="J78" s="22">
        <f t="shared" si="10"/>
        <v>5</v>
      </c>
      <c r="K78" s="23">
        <f>K77+0.08</f>
        <v>1.0799999999999998</v>
      </c>
      <c r="L78" s="7">
        <f>AMI_Table!$F$13*'AMI &amp; Rent'!$C71</f>
        <v>100620</v>
      </c>
      <c r="M78" s="32"/>
      <c r="N78"/>
      <c r="O78"/>
      <c r="P78"/>
      <c r="Q78"/>
      <c r="R78"/>
      <c r="S78"/>
      <c r="T78"/>
    </row>
    <row r="79" spans="3:20" ht="15.75" x14ac:dyDescent="0.25">
      <c r="C79" s="22" t="s">
        <v>5</v>
      </c>
      <c r="D79" s="29">
        <v>4.5</v>
      </c>
      <c r="E79" s="30">
        <v>1.04</v>
      </c>
      <c r="F79" s="31">
        <f>AVERAGE(L77:L78)</f>
        <v>96900</v>
      </c>
      <c r="G79" s="7">
        <f t="shared" si="11"/>
        <v>2422</v>
      </c>
      <c r="H79" s="52">
        <f t="shared" si="12"/>
        <v>2263</v>
      </c>
      <c r="I79"/>
      <c r="J79" s="22">
        <f t="shared" si="10"/>
        <v>6</v>
      </c>
      <c r="K79" s="23">
        <f>K78+0.08</f>
        <v>1.1599999999999999</v>
      </c>
      <c r="L79" s="7">
        <f>AMI_Table!$G$13*'AMI &amp; Rent'!$C71</f>
        <v>108060</v>
      </c>
      <c r="M79" s="32"/>
      <c r="N79"/>
      <c r="O79"/>
      <c r="P79"/>
      <c r="Q79"/>
      <c r="R79"/>
      <c r="S79"/>
      <c r="T79"/>
    </row>
    <row r="80" spans="3:20" ht="15.75" x14ac:dyDescent="0.25">
      <c r="C80" s="22" t="s">
        <v>6</v>
      </c>
      <c r="D80" s="29">
        <v>6</v>
      </c>
      <c r="E80" s="30">
        <v>1.1599999999999999</v>
      </c>
      <c r="F80" s="31">
        <f>L79</f>
        <v>108060</v>
      </c>
      <c r="G80" s="7">
        <f t="shared" si="11"/>
        <v>2701</v>
      </c>
      <c r="H80" s="52">
        <f t="shared" si="12"/>
        <v>2510</v>
      </c>
      <c r="I80"/>
      <c r="J80" s="22">
        <f>J81-1</f>
        <v>7</v>
      </c>
      <c r="K80" s="23">
        <f>K79+0.08</f>
        <v>1.24</v>
      </c>
      <c r="L80" s="7">
        <f>AMI_Table!$H$13*'AMI &amp; Rent'!$C71</f>
        <v>115560</v>
      </c>
      <c r="M80" s="32"/>
      <c r="N80"/>
      <c r="O80"/>
      <c r="P80"/>
      <c r="Q80"/>
      <c r="R80"/>
      <c r="S80"/>
      <c r="T80"/>
    </row>
    <row r="81" spans="3:20" ht="15.75" x14ac:dyDescent="0.25">
      <c r="C81" s="22" t="s">
        <v>7</v>
      </c>
      <c r="D81" s="29">
        <v>7.5</v>
      </c>
      <c r="E81" s="30">
        <f>1.28</f>
        <v>1.28</v>
      </c>
      <c r="F81" s="31">
        <f>AVERAGE(L80:L81)</f>
        <v>119280</v>
      </c>
      <c r="G81" s="7">
        <f t="shared" si="11"/>
        <v>2982</v>
      </c>
      <c r="H81" s="52">
        <f t="shared" si="12"/>
        <v>2759</v>
      </c>
      <c r="I81"/>
      <c r="J81" s="22">
        <v>8</v>
      </c>
      <c r="K81" s="23">
        <f>K80+0.08</f>
        <v>1.32</v>
      </c>
      <c r="L81" s="7">
        <f>AMI_Table!$I$13*'AMI &amp; Rent'!$C71</f>
        <v>123000</v>
      </c>
      <c r="M81" s="32"/>
      <c r="N81"/>
      <c r="O81"/>
      <c r="P81"/>
      <c r="Q81"/>
      <c r="R81"/>
      <c r="S81"/>
      <c r="T81"/>
    </row>
    <row r="82" spans="3:20" ht="15.75" x14ac:dyDescent="0.25">
      <c r="C82" s="6"/>
      <c r="D82" s="6"/>
      <c r="E82" s="87"/>
      <c r="F82" s="89"/>
      <c r="G82" s="89"/>
      <c r="H82" s="89"/>
      <c r="I82"/>
      <c r="J82" s="6"/>
      <c r="K82" s="88"/>
      <c r="L82" s="89"/>
      <c r="M82" s="32"/>
      <c r="N82"/>
      <c r="O82"/>
      <c r="P82"/>
      <c r="Q82"/>
      <c r="R82"/>
      <c r="S82"/>
      <c r="T82"/>
    </row>
    <row r="83" spans="3:20" ht="15.75" x14ac:dyDescent="0.25">
      <c r="C83" s="6"/>
      <c r="D83" s="6"/>
      <c r="E83" s="87"/>
      <c r="F83" s="90"/>
      <c r="G83" s="90"/>
      <c r="H83" s="90"/>
      <c r="I83" s="62"/>
      <c r="J83" s="91"/>
      <c r="K83" s="92"/>
      <c r="L83" s="90"/>
      <c r="M83" s="93"/>
      <c r="N83"/>
      <c r="O83"/>
      <c r="P83"/>
      <c r="Q83"/>
      <c r="R83"/>
      <c r="S83"/>
      <c r="T83"/>
    </row>
    <row r="84" spans="3:20" ht="15.75" x14ac:dyDescent="0.25">
      <c r="C84" s="57">
        <v>0.7</v>
      </c>
      <c r="D84" s="8" t="s">
        <v>9</v>
      </c>
      <c r="E84" s="7">
        <f>AMI_Table!$E$13*'AMI &amp; Rent'!$C84</f>
        <v>108710</v>
      </c>
      <c r="F84" s="4" t="s">
        <v>0</v>
      </c>
      <c r="G84" s="2"/>
      <c r="H84"/>
      <c r="I84"/>
      <c r="J84" s="2"/>
      <c r="N84"/>
      <c r="O84"/>
      <c r="P84"/>
      <c r="Q84"/>
      <c r="R84"/>
      <c r="S84"/>
      <c r="T84"/>
    </row>
    <row r="85" spans="3:20" x14ac:dyDescent="0.2">
      <c r="G85"/>
      <c r="H85"/>
      <c r="I85"/>
      <c r="J85" s="10"/>
      <c r="K85" s="11"/>
      <c r="L85" s="12" t="s">
        <v>10</v>
      </c>
      <c r="N85"/>
      <c r="O85"/>
      <c r="P85"/>
      <c r="Q85"/>
      <c r="R85"/>
      <c r="S85"/>
      <c r="T85"/>
    </row>
    <row r="86" spans="3:20" ht="15.75" x14ac:dyDescent="0.25">
      <c r="C86" s="13"/>
      <c r="D86" s="14"/>
      <c r="E86" s="14"/>
      <c r="F86" s="14"/>
      <c r="G86" s="98" t="s">
        <v>33</v>
      </c>
      <c r="H86" s="98" t="s">
        <v>34</v>
      </c>
      <c r="I86"/>
      <c r="J86" s="15" t="s">
        <v>11</v>
      </c>
      <c r="K86" s="16" t="s">
        <v>12</v>
      </c>
      <c r="L86" s="17" t="s">
        <v>13</v>
      </c>
      <c r="M86" s="3"/>
      <c r="N86"/>
      <c r="O86"/>
      <c r="P86"/>
      <c r="Q86"/>
      <c r="R86"/>
      <c r="S86"/>
      <c r="T86"/>
    </row>
    <row r="87" spans="3:20" ht="15.75" x14ac:dyDescent="0.25">
      <c r="C87" s="18"/>
      <c r="D87" s="19"/>
      <c r="E87" s="19"/>
      <c r="F87" s="20" t="s">
        <v>10</v>
      </c>
      <c r="G87" s="99"/>
      <c r="H87" s="99"/>
      <c r="I87"/>
      <c r="J87" s="22">
        <f t="shared" ref="J87:J92" si="13">J88-1</f>
        <v>1</v>
      </c>
      <c r="K87" s="23">
        <v>0.7</v>
      </c>
      <c r="L87" s="7">
        <f>AMI_Table!$B$13*'AMI &amp; Rent'!$C84</f>
        <v>76090</v>
      </c>
      <c r="M87" s="21"/>
      <c r="N87"/>
      <c r="O87"/>
      <c r="P87"/>
      <c r="Q87"/>
      <c r="R87"/>
      <c r="S87"/>
      <c r="T87"/>
    </row>
    <row r="88" spans="3:20" ht="24.75" customHeight="1" x14ac:dyDescent="0.25">
      <c r="C88" s="24"/>
      <c r="D88" s="25" t="s">
        <v>14</v>
      </c>
      <c r="E88" s="26" t="s">
        <v>15</v>
      </c>
      <c r="F88" s="27" t="s">
        <v>13</v>
      </c>
      <c r="G88" s="100"/>
      <c r="H88" s="100"/>
      <c r="I88"/>
      <c r="J88" s="22">
        <f t="shared" si="13"/>
        <v>2</v>
      </c>
      <c r="K88" s="23">
        <f>K87+0.1</f>
        <v>0.79999999999999993</v>
      </c>
      <c r="L88" s="7">
        <f>AMI_Table!$C$13*'AMI &amp; Rent'!$C84</f>
        <v>87010</v>
      </c>
      <c r="M88" s="28"/>
      <c r="N88"/>
      <c r="O88"/>
      <c r="P88"/>
      <c r="Q88"/>
      <c r="R88"/>
      <c r="S88"/>
      <c r="T88"/>
    </row>
    <row r="89" spans="3:20" ht="15.75" x14ac:dyDescent="0.25">
      <c r="C89" s="22" t="s">
        <v>1</v>
      </c>
      <c r="D89" s="29">
        <v>1</v>
      </c>
      <c r="E89" s="30">
        <v>0.7</v>
      </c>
      <c r="F89" s="31">
        <f>AMI_Table!$B$13*'AMI &amp; Rent'!$C84</f>
        <v>76090</v>
      </c>
      <c r="G89" s="7">
        <f t="shared" ref="G89:G94" si="14">ROUNDDOWN(F89*$A$7/12,0)</f>
        <v>1902</v>
      </c>
      <c r="H89" s="52">
        <f>G89-N17</f>
        <v>1817</v>
      </c>
      <c r="I89"/>
      <c r="J89" s="22">
        <f t="shared" si="13"/>
        <v>3</v>
      </c>
      <c r="K89" s="23">
        <f>K88+0.1</f>
        <v>0.89999999999999991</v>
      </c>
      <c r="L89" s="7">
        <f>AMI_Table!$D$13*'AMI &amp; Rent'!$C84</f>
        <v>97860</v>
      </c>
      <c r="M89" s="32"/>
      <c r="N89"/>
      <c r="O89"/>
      <c r="P89"/>
      <c r="Q89"/>
      <c r="R89"/>
      <c r="S89"/>
      <c r="T89"/>
    </row>
    <row r="90" spans="3:20" ht="15.75" x14ac:dyDescent="0.25">
      <c r="C90" s="22" t="s">
        <v>2</v>
      </c>
      <c r="D90" s="29">
        <v>1.5</v>
      </c>
      <c r="E90" s="30">
        <v>0.75</v>
      </c>
      <c r="F90" s="31">
        <f>AVERAGE(L87:L88)</f>
        <v>81550</v>
      </c>
      <c r="G90" s="7">
        <f t="shared" si="14"/>
        <v>2038</v>
      </c>
      <c r="H90" s="52">
        <f t="shared" ref="H90:H94" si="15">G90-N18</f>
        <v>1941</v>
      </c>
      <c r="I90"/>
      <c r="J90" s="22">
        <f t="shared" si="13"/>
        <v>4</v>
      </c>
      <c r="K90" s="23">
        <f>K89+0.1</f>
        <v>0.99999999999999989</v>
      </c>
      <c r="L90" s="7">
        <f>AMI_Table!$E$13*'AMI &amp; Rent'!$C84</f>
        <v>108710</v>
      </c>
      <c r="M90" s="32"/>
      <c r="N90"/>
      <c r="O90"/>
      <c r="P90"/>
      <c r="Q90"/>
      <c r="R90"/>
      <c r="S90"/>
      <c r="T90"/>
    </row>
    <row r="91" spans="3:20" ht="15.75" x14ac:dyDescent="0.25">
      <c r="C91" s="22" t="s">
        <v>4</v>
      </c>
      <c r="D91" s="29">
        <v>3</v>
      </c>
      <c r="E91" s="30">
        <v>0.9</v>
      </c>
      <c r="F91" s="31">
        <f>L89</f>
        <v>97860</v>
      </c>
      <c r="G91" s="7">
        <f t="shared" si="14"/>
        <v>2446</v>
      </c>
      <c r="H91" s="52">
        <f t="shared" si="15"/>
        <v>2318</v>
      </c>
      <c r="I91"/>
      <c r="J91" s="22">
        <f t="shared" si="13"/>
        <v>5</v>
      </c>
      <c r="K91" s="23">
        <f>K90+0.08</f>
        <v>1.0799999999999998</v>
      </c>
      <c r="L91" s="7">
        <f>AMI_Table!$F$13*'AMI &amp; Rent'!$C84</f>
        <v>117389.99999999999</v>
      </c>
      <c r="M91" s="32"/>
      <c r="N91"/>
      <c r="O91"/>
      <c r="P91"/>
      <c r="Q91"/>
      <c r="R91"/>
      <c r="S91"/>
      <c r="T91"/>
    </row>
    <row r="92" spans="3:20" ht="15.75" x14ac:dyDescent="0.25">
      <c r="C92" s="22" t="s">
        <v>5</v>
      </c>
      <c r="D92" s="29">
        <v>4.5</v>
      </c>
      <c r="E92" s="30">
        <v>1.04</v>
      </c>
      <c r="F92" s="31">
        <f>AVERAGE(L90:L91)</f>
        <v>113050</v>
      </c>
      <c r="G92" s="7">
        <f t="shared" si="14"/>
        <v>2826</v>
      </c>
      <c r="H92" s="52">
        <f t="shared" si="15"/>
        <v>2667</v>
      </c>
      <c r="I92"/>
      <c r="J92" s="22">
        <f t="shared" si="13"/>
        <v>6</v>
      </c>
      <c r="K92" s="23">
        <f>K91+0.08</f>
        <v>1.1599999999999999</v>
      </c>
      <c r="L92" s="7">
        <f>AMI_Table!$G$13*'AMI &amp; Rent'!$C84</f>
        <v>126069.99999999999</v>
      </c>
      <c r="M92" s="32"/>
      <c r="N92"/>
      <c r="O92"/>
      <c r="P92"/>
      <c r="Q92"/>
      <c r="R92"/>
      <c r="S92"/>
      <c r="T92"/>
    </row>
    <row r="93" spans="3:20" ht="15.75" x14ac:dyDescent="0.25">
      <c r="C93" s="22" t="s">
        <v>6</v>
      </c>
      <c r="D93" s="29">
        <v>6</v>
      </c>
      <c r="E93" s="30">
        <v>1.1599999999999999</v>
      </c>
      <c r="F93" s="31">
        <f>L92</f>
        <v>126069.99999999999</v>
      </c>
      <c r="G93" s="7">
        <f t="shared" si="14"/>
        <v>3151</v>
      </c>
      <c r="H93" s="52">
        <f t="shared" si="15"/>
        <v>2960</v>
      </c>
      <c r="I93"/>
      <c r="J93" s="22">
        <f>J94-1</f>
        <v>7</v>
      </c>
      <c r="K93" s="23">
        <f>K92+0.08</f>
        <v>1.24</v>
      </c>
      <c r="L93" s="7">
        <f>AMI_Table!$H$13*'AMI &amp; Rent'!$C84</f>
        <v>134820</v>
      </c>
      <c r="M93" s="32"/>
      <c r="N93"/>
      <c r="O93"/>
      <c r="P93"/>
      <c r="Q93"/>
      <c r="R93"/>
      <c r="S93"/>
      <c r="T93"/>
    </row>
    <row r="94" spans="3:20" ht="15.75" x14ac:dyDescent="0.25">
      <c r="C94" s="22" t="s">
        <v>7</v>
      </c>
      <c r="D94" s="29">
        <v>7.5</v>
      </c>
      <c r="E94" s="30">
        <f>1.28</f>
        <v>1.28</v>
      </c>
      <c r="F94" s="31">
        <f>AVERAGE(L93:L94)</f>
        <v>139160</v>
      </c>
      <c r="G94" s="7">
        <f t="shared" si="14"/>
        <v>3479</v>
      </c>
      <c r="H94" s="52">
        <f t="shared" si="15"/>
        <v>3256</v>
      </c>
      <c r="I94"/>
      <c r="J94" s="22">
        <v>8</v>
      </c>
      <c r="K94" s="23">
        <f>K93+0.08</f>
        <v>1.32</v>
      </c>
      <c r="L94" s="7">
        <f>AMI_Table!$I$13*'AMI &amp; Rent'!$C84</f>
        <v>143500</v>
      </c>
      <c r="M94" s="32"/>
      <c r="N94"/>
      <c r="O94"/>
      <c r="P94"/>
      <c r="Q94"/>
      <c r="R94"/>
      <c r="S94"/>
      <c r="T94"/>
    </row>
    <row r="95" spans="3:20" x14ac:dyDescent="0.2">
      <c r="H95"/>
      <c r="I95"/>
      <c r="J95" s="2"/>
      <c r="N95"/>
      <c r="O95"/>
      <c r="P95"/>
      <c r="Q95"/>
      <c r="R95"/>
      <c r="S95"/>
      <c r="T95"/>
    </row>
    <row r="96" spans="3:20" x14ac:dyDescent="0.2">
      <c r="G96" s="61"/>
      <c r="H96" s="62"/>
      <c r="I96" s="62"/>
      <c r="J96" s="63"/>
      <c r="K96" s="63"/>
      <c r="L96" s="63"/>
      <c r="M96" s="63"/>
      <c r="N96"/>
      <c r="O96"/>
      <c r="P96"/>
      <c r="Q96"/>
      <c r="R96"/>
      <c r="S96"/>
      <c r="T96"/>
    </row>
    <row r="97" spans="3:20" ht="15.75" x14ac:dyDescent="0.25">
      <c r="C97" s="57">
        <v>0.8</v>
      </c>
      <c r="D97" s="8" t="s">
        <v>9</v>
      </c>
      <c r="E97" s="7">
        <f>AMI_Table!$E$13*'AMI &amp; Rent'!$C97</f>
        <v>124240</v>
      </c>
      <c r="F97" s="9" t="s">
        <v>0</v>
      </c>
      <c r="G97" s="2"/>
      <c r="H97"/>
      <c r="I97"/>
      <c r="J97" s="2"/>
      <c r="N97"/>
      <c r="O97"/>
      <c r="P97"/>
      <c r="Q97"/>
      <c r="R97"/>
      <c r="S97"/>
      <c r="T97"/>
    </row>
    <row r="98" spans="3:20" x14ac:dyDescent="0.2">
      <c r="G98"/>
      <c r="H98"/>
      <c r="I98"/>
      <c r="J98" s="10"/>
      <c r="K98" s="11"/>
      <c r="L98" s="12" t="s">
        <v>10</v>
      </c>
      <c r="N98"/>
      <c r="O98"/>
      <c r="P98"/>
      <c r="Q98"/>
      <c r="R98"/>
      <c r="S98"/>
      <c r="T98"/>
    </row>
    <row r="99" spans="3:20" ht="15.75" customHeight="1" x14ac:dyDescent="0.25">
      <c r="C99" s="13"/>
      <c r="D99" s="14"/>
      <c r="E99" s="14"/>
      <c r="F99" s="14"/>
      <c r="G99" s="98" t="s">
        <v>33</v>
      </c>
      <c r="H99" s="98" t="s">
        <v>34</v>
      </c>
      <c r="I99"/>
      <c r="J99" s="15" t="s">
        <v>11</v>
      </c>
      <c r="K99" s="16" t="s">
        <v>12</v>
      </c>
      <c r="L99" s="17" t="s">
        <v>13</v>
      </c>
      <c r="M99" s="3"/>
      <c r="N99"/>
      <c r="O99"/>
      <c r="P99"/>
      <c r="Q99"/>
      <c r="R99"/>
      <c r="S99"/>
      <c r="T99"/>
    </row>
    <row r="100" spans="3:20" ht="15.75" x14ac:dyDescent="0.25">
      <c r="C100" s="18"/>
      <c r="D100" s="19"/>
      <c r="E100" s="19"/>
      <c r="F100" s="20" t="s">
        <v>10</v>
      </c>
      <c r="G100" s="99"/>
      <c r="H100" s="99"/>
      <c r="I100"/>
      <c r="J100" s="22">
        <f t="shared" ref="J100:J105" si="16">J101-1</f>
        <v>1</v>
      </c>
      <c r="K100" s="23">
        <v>0.7</v>
      </c>
      <c r="L100" s="7">
        <f>AMI_Table!$B$13*'AMI &amp; Rent'!$C97</f>
        <v>86960</v>
      </c>
      <c r="M100" s="21"/>
      <c r="N100"/>
      <c r="O100"/>
      <c r="P100"/>
      <c r="Q100"/>
      <c r="R100"/>
      <c r="S100"/>
      <c r="T100"/>
    </row>
    <row r="101" spans="3:20" ht="33.950000000000003" customHeight="1" x14ac:dyDescent="0.25">
      <c r="C101" s="24"/>
      <c r="D101" s="25" t="s">
        <v>14</v>
      </c>
      <c r="E101" s="26" t="s">
        <v>15</v>
      </c>
      <c r="F101" s="27" t="s">
        <v>13</v>
      </c>
      <c r="G101" s="100"/>
      <c r="H101" s="100"/>
      <c r="I101"/>
      <c r="J101" s="22">
        <f t="shared" si="16"/>
        <v>2</v>
      </c>
      <c r="K101" s="23">
        <f>K100+0.1</f>
        <v>0.79999999999999993</v>
      </c>
      <c r="L101" s="7">
        <f>AMI_Table!$C$13*'AMI &amp; Rent'!$C97</f>
        <v>99440</v>
      </c>
      <c r="M101" s="28"/>
      <c r="N101"/>
      <c r="O101"/>
      <c r="P101"/>
      <c r="Q101"/>
      <c r="R101"/>
      <c r="S101"/>
      <c r="T101"/>
    </row>
    <row r="102" spans="3:20" ht="15.75" x14ac:dyDescent="0.25">
      <c r="C102" s="22" t="s">
        <v>1</v>
      </c>
      <c r="D102" s="29">
        <v>1</v>
      </c>
      <c r="E102" s="30">
        <v>0.7</v>
      </c>
      <c r="F102" s="31">
        <f>AMI_Table!$B$13*'AMI &amp; Rent'!$C97</f>
        <v>86960</v>
      </c>
      <c r="G102" s="7">
        <f>ROUNDDOWN(F102*$A$7/12,0)</f>
        <v>2174</v>
      </c>
      <c r="H102" s="52">
        <f>G102-N17</f>
        <v>2089</v>
      </c>
      <c r="I102"/>
      <c r="J102" s="22">
        <f t="shared" si="16"/>
        <v>3</v>
      </c>
      <c r="K102" s="23">
        <f>K101+0.1</f>
        <v>0.89999999999999991</v>
      </c>
      <c r="L102" s="7">
        <f>AMI_Table!$D$13*'AMI &amp; Rent'!$C97</f>
        <v>111840</v>
      </c>
      <c r="M102" s="32"/>
      <c r="N102"/>
      <c r="O102"/>
      <c r="P102"/>
      <c r="Q102"/>
      <c r="R102"/>
      <c r="S102"/>
      <c r="T102"/>
    </row>
    <row r="103" spans="3:20" ht="15.75" x14ac:dyDescent="0.25">
      <c r="C103" s="22" t="s">
        <v>2</v>
      </c>
      <c r="D103" s="29">
        <v>1.5</v>
      </c>
      <c r="E103" s="30">
        <v>0.75</v>
      </c>
      <c r="F103" s="31">
        <f>AVERAGE(L100:L101)</f>
        <v>93200</v>
      </c>
      <c r="G103" s="7">
        <f>ROUNDDOWN(F103*$A$7/12,0)</f>
        <v>2330</v>
      </c>
      <c r="H103" s="52">
        <f>G103-N18</f>
        <v>2233</v>
      </c>
      <c r="I103"/>
      <c r="J103" s="22">
        <f t="shared" si="16"/>
        <v>4</v>
      </c>
      <c r="K103" s="23">
        <f>K102+0.1</f>
        <v>0.99999999999999989</v>
      </c>
      <c r="L103" s="7">
        <f>AMI_Table!$E$13*'AMI &amp; Rent'!$C97</f>
        <v>124240</v>
      </c>
      <c r="M103" s="32"/>
      <c r="N103"/>
      <c r="O103"/>
      <c r="P103"/>
      <c r="Q103"/>
      <c r="R103"/>
      <c r="S103"/>
      <c r="T103"/>
    </row>
    <row r="104" spans="3:20" ht="15.75" x14ac:dyDescent="0.25">
      <c r="C104" s="22" t="s">
        <v>4</v>
      </c>
      <c r="D104" s="29">
        <v>3</v>
      </c>
      <c r="E104" s="30">
        <v>0.9</v>
      </c>
      <c r="F104" s="31">
        <f>L102</f>
        <v>111840</v>
      </c>
      <c r="G104" s="7">
        <f>ROUNDDOWN(F104*$A$7/12,0)</f>
        <v>2796</v>
      </c>
      <c r="H104" s="52">
        <f t="shared" ref="H104:H107" si="17">G104-N19</f>
        <v>2668</v>
      </c>
      <c r="I104"/>
      <c r="J104" s="22">
        <f t="shared" si="16"/>
        <v>5</v>
      </c>
      <c r="K104" s="23">
        <f>K103+0.08</f>
        <v>1.0799999999999998</v>
      </c>
      <c r="L104" s="7">
        <f>AMI_Table!$F$13*'AMI &amp; Rent'!$C97</f>
        <v>134160</v>
      </c>
      <c r="M104" s="32"/>
      <c r="N104"/>
      <c r="O104"/>
      <c r="P104"/>
      <c r="Q104"/>
      <c r="R104"/>
      <c r="S104"/>
      <c r="T104"/>
    </row>
    <row r="105" spans="3:20" ht="15.75" x14ac:dyDescent="0.25">
      <c r="C105" s="22" t="s">
        <v>5</v>
      </c>
      <c r="D105" s="29">
        <v>4.5</v>
      </c>
      <c r="E105" s="30">
        <v>1.04</v>
      </c>
      <c r="F105" s="31">
        <f>AVERAGE(L103:L104)</f>
        <v>129200</v>
      </c>
      <c r="G105" s="7">
        <f>ROUNDDOWN(F105*$A$7/12,0)</f>
        <v>3230</v>
      </c>
      <c r="H105" s="52">
        <f t="shared" si="17"/>
        <v>3071</v>
      </c>
      <c r="I105"/>
      <c r="J105" s="22">
        <f t="shared" si="16"/>
        <v>6</v>
      </c>
      <c r="K105" s="23">
        <f>K104+0.08</f>
        <v>1.1599999999999999</v>
      </c>
      <c r="L105" s="7">
        <f>AMI_Table!$G$13*'AMI &amp; Rent'!$C97</f>
        <v>144080</v>
      </c>
      <c r="M105" s="32"/>
      <c r="N105"/>
      <c r="O105"/>
      <c r="P105"/>
      <c r="Q105"/>
      <c r="R105"/>
      <c r="S105"/>
      <c r="T105"/>
    </row>
    <row r="106" spans="3:20" ht="15.75" x14ac:dyDescent="0.25">
      <c r="C106" s="22" t="s">
        <v>6</v>
      </c>
      <c r="D106" s="29">
        <v>6</v>
      </c>
      <c r="E106" s="30">
        <v>1.1599999999999999</v>
      </c>
      <c r="F106" s="31">
        <f>L105</f>
        <v>144080</v>
      </c>
      <c r="G106" s="7">
        <f>ROUNDDOWN(F106*$A$7/12,0)</f>
        <v>3602</v>
      </c>
      <c r="H106" s="52">
        <f t="shared" si="17"/>
        <v>3411</v>
      </c>
      <c r="I106"/>
      <c r="J106" s="22">
        <f>J107-1</f>
        <v>7</v>
      </c>
      <c r="K106" s="23">
        <f>K105+0.08</f>
        <v>1.24</v>
      </c>
      <c r="L106" s="7">
        <f>AMI_Table!$H$13*'AMI &amp; Rent'!$C97</f>
        <v>154080</v>
      </c>
      <c r="M106" s="32"/>
      <c r="N106"/>
      <c r="O106"/>
      <c r="P106"/>
      <c r="Q106"/>
      <c r="R106"/>
      <c r="S106"/>
      <c r="T106"/>
    </row>
    <row r="107" spans="3:20" ht="15.75" x14ac:dyDescent="0.25">
      <c r="C107" s="22" t="s">
        <v>7</v>
      </c>
      <c r="D107" s="29">
        <v>7.5</v>
      </c>
      <c r="E107" s="30">
        <f>1.28</f>
        <v>1.28</v>
      </c>
      <c r="F107" s="31">
        <f>AVERAGE(L106:L107)</f>
        <v>159040</v>
      </c>
      <c r="G107" s="7">
        <f t="shared" ref="G107" si="18">ROUNDDOWN(F107*$A$7/12,0)</f>
        <v>3976</v>
      </c>
      <c r="H107" s="52">
        <f t="shared" si="17"/>
        <v>3753</v>
      </c>
      <c r="I107"/>
      <c r="J107" s="22">
        <v>8</v>
      </c>
      <c r="K107" s="23">
        <f>K106+0.08</f>
        <v>1.32</v>
      </c>
      <c r="L107" s="7">
        <f>AMI_Table!$I$13*'AMI &amp; Rent'!$C97</f>
        <v>164000</v>
      </c>
      <c r="M107" s="32"/>
      <c r="N107"/>
      <c r="O107"/>
      <c r="P107"/>
      <c r="Q107"/>
      <c r="R107"/>
      <c r="S107"/>
      <c r="T107"/>
    </row>
    <row r="108" spans="3:20" x14ac:dyDescent="0.2">
      <c r="H108"/>
      <c r="I108"/>
      <c r="J108" s="2"/>
      <c r="N108"/>
      <c r="O108"/>
      <c r="P108"/>
      <c r="Q108"/>
      <c r="R108"/>
      <c r="S108"/>
      <c r="T108"/>
    </row>
    <row r="109" spans="3:20" x14ac:dyDescent="0.2">
      <c r="H109"/>
      <c r="I109"/>
      <c r="J109" s="2"/>
      <c r="N109"/>
      <c r="O109"/>
      <c r="P109"/>
      <c r="Q109"/>
      <c r="R109"/>
      <c r="S109"/>
      <c r="T109"/>
    </row>
    <row r="110" spans="3:20" ht="15.75" x14ac:dyDescent="0.25">
      <c r="C110" s="57">
        <v>0.9</v>
      </c>
      <c r="D110" s="8" t="s">
        <v>9</v>
      </c>
      <c r="E110" s="7">
        <f>AMI_Table!$E$13*'AMI &amp; Rent'!$C110</f>
        <v>139770</v>
      </c>
      <c r="F110" s="9" t="s">
        <v>0</v>
      </c>
      <c r="G110" s="5"/>
      <c r="H110"/>
      <c r="I110"/>
      <c r="J110" s="2"/>
      <c r="N110"/>
      <c r="O110"/>
      <c r="P110"/>
      <c r="Q110"/>
      <c r="R110"/>
      <c r="S110"/>
      <c r="T110"/>
    </row>
    <row r="111" spans="3:20" x14ac:dyDescent="0.2">
      <c r="G111"/>
      <c r="H111"/>
      <c r="I111"/>
      <c r="J111" s="10"/>
      <c r="K111" s="11"/>
      <c r="L111" s="12" t="s">
        <v>10</v>
      </c>
      <c r="N111"/>
      <c r="O111"/>
      <c r="P111"/>
      <c r="Q111"/>
      <c r="R111"/>
      <c r="S111"/>
      <c r="T111"/>
    </row>
    <row r="112" spans="3:20" ht="15.75" customHeight="1" x14ac:dyDescent="0.25">
      <c r="C112" s="13"/>
      <c r="D112" s="14"/>
      <c r="E112" s="14"/>
      <c r="F112" s="14"/>
      <c r="G112" s="98" t="s">
        <v>33</v>
      </c>
      <c r="H112" s="98" t="s">
        <v>34</v>
      </c>
      <c r="I112"/>
      <c r="J112" s="15" t="s">
        <v>11</v>
      </c>
      <c r="K112" s="16" t="s">
        <v>12</v>
      </c>
      <c r="L112" s="17" t="s">
        <v>13</v>
      </c>
      <c r="M112" s="3"/>
      <c r="N112"/>
      <c r="O112"/>
      <c r="P112"/>
      <c r="Q112"/>
      <c r="R112"/>
      <c r="S112"/>
      <c r="T112"/>
    </row>
    <row r="113" spans="3:20" ht="15.75" x14ac:dyDescent="0.25">
      <c r="C113" s="18"/>
      <c r="D113" s="19"/>
      <c r="E113" s="19"/>
      <c r="F113" s="20" t="s">
        <v>10</v>
      </c>
      <c r="G113" s="99"/>
      <c r="H113" s="99"/>
      <c r="I113"/>
      <c r="J113" s="22">
        <f t="shared" ref="J113:J118" si="19">J114-1</f>
        <v>1</v>
      </c>
      <c r="K113" s="23">
        <v>0.7</v>
      </c>
      <c r="L113" s="7">
        <f>AMI_Table!$B$13*'AMI &amp; Rent'!$C110</f>
        <v>97830</v>
      </c>
      <c r="M113" s="21"/>
      <c r="N113"/>
      <c r="O113"/>
      <c r="P113"/>
      <c r="Q113"/>
      <c r="R113"/>
      <c r="S113"/>
      <c r="T113"/>
    </row>
    <row r="114" spans="3:20" ht="33" customHeight="1" x14ac:dyDescent="0.25">
      <c r="C114" s="24"/>
      <c r="D114" s="25" t="s">
        <v>14</v>
      </c>
      <c r="E114" s="26" t="s">
        <v>15</v>
      </c>
      <c r="F114" s="27" t="s">
        <v>13</v>
      </c>
      <c r="G114" s="100"/>
      <c r="H114" s="100"/>
      <c r="I114"/>
      <c r="J114" s="22">
        <f t="shared" si="19"/>
        <v>2</v>
      </c>
      <c r="K114" s="23">
        <f>K113+0.1</f>
        <v>0.79999999999999993</v>
      </c>
      <c r="L114" s="7">
        <f>AMI_Table!$C$13*'AMI &amp; Rent'!$C110</f>
        <v>111870</v>
      </c>
      <c r="M114" s="28"/>
      <c r="N114"/>
      <c r="O114"/>
      <c r="P114"/>
      <c r="Q114"/>
      <c r="R114"/>
      <c r="S114"/>
      <c r="T114"/>
    </row>
    <row r="115" spans="3:20" ht="15.75" x14ac:dyDescent="0.25">
      <c r="C115" s="22" t="s">
        <v>1</v>
      </c>
      <c r="D115" s="29">
        <v>1</v>
      </c>
      <c r="E115" s="30">
        <v>0.7</v>
      </c>
      <c r="F115" s="31">
        <f>AMI_Table!$B$13*'AMI &amp; Rent'!$C110</f>
        <v>97830</v>
      </c>
      <c r="G115" s="7">
        <f t="shared" ref="G115:G120" si="20">ROUNDDOWN(F115*$A$7/12,0)</f>
        <v>2445</v>
      </c>
      <c r="H115" s="52">
        <f t="shared" ref="H115:H120" si="21">G115-N5</f>
        <v>2445</v>
      </c>
      <c r="I115"/>
      <c r="J115" s="22">
        <f t="shared" si="19"/>
        <v>3</v>
      </c>
      <c r="K115" s="23">
        <f>K114+0.1</f>
        <v>0.89999999999999991</v>
      </c>
      <c r="L115" s="7">
        <f>AMI_Table!$D$13*'AMI &amp; Rent'!$C110</f>
        <v>125820</v>
      </c>
      <c r="M115" s="32"/>
      <c r="N115"/>
      <c r="O115"/>
      <c r="P115"/>
      <c r="Q115"/>
      <c r="R115"/>
      <c r="S115"/>
      <c r="T115"/>
    </row>
    <row r="116" spans="3:20" ht="15.75" x14ac:dyDescent="0.25">
      <c r="C116" s="22" t="s">
        <v>2</v>
      </c>
      <c r="D116" s="29">
        <v>1.5</v>
      </c>
      <c r="E116" s="30">
        <v>0.75</v>
      </c>
      <c r="F116" s="31">
        <f>AVERAGE(L113:L114)</f>
        <v>104850</v>
      </c>
      <c r="G116" s="7">
        <f t="shared" si="20"/>
        <v>2621</v>
      </c>
      <c r="H116" s="52">
        <f t="shared" si="21"/>
        <v>2621</v>
      </c>
      <c r="I116"/>
      <c r="J116" s="22">
        <f t="shared" si="19"/>
        <v>4</v>
      </c>
      <c r="K116" s="23">
        <f>K115+0.1</f>
        <v>0.99999999999999989</v>
      </c>
      <c r="L116" s="7">
        <f>AMI_Table!$E$13*'AMI &amp; Rent'!$C110</f>
        <v>139770</v>
      </c>
      <c r="M116" s="32"/>
      <c r="N116"/>
      <c r="O116"/>
      <c r="P116"/>
      <c r="Q116"/>
      <c r="R116"/>
      <c r="S116"/>
      <c r="T116"/>
    </row>
    <row r="117" spans="3:20" ht="15.75" x14ac:dyDescent="0.25">
      <c r="C117" s="22" t="s">
        <v>4</v>
      </c>
      <c r="D117" s="29">
        <v>3</v>
      </c>
      <c r="E117" s="30">
        <v>0.9</v>
      </c>
      <c r="F117" s="31">
        <f>L115</f>
        <v>125820</v>
      </c>
      <c r="G117" s="7">
        <f t="shared" si="20"/>
        <v>3145</v>
      </c>
      <c r="H117" s="52">
        <f t="shared" si="21"/>
        <v>3145</v>
      </c>
      <c r="I117"/>
      <c r="J117" s="22">
        <f t="shared" si="19"/>
        <v>5</v>
      </c>
      <c r="K117" s="23">
        <f>K116+0.08</f>
        <v>1.0799999999999998</v>
      </c>
      <c r="L117" s="7">
        <f>AMI_Table!$F$13*'AMI &amp; Rent'!$C110</f>
        <v>150930</v>
      </c>
      <c r="M117" s="32"/>
      <c r="N117"/>
      <c r="O117"/>
      <c r="P117"/>
      <c r="Q117"/>
      <c r="R117"/>
      <c r="S117"/>
      <c r="T117"/>
    </row>
    <row r="118" spans="3:20" ht="15.75" x14ac:dyDescent="0.25">
      <c r="C118" s="22" t="s">
        <v>5</v>
      </c>
      <c r="D118" s="29">
        <v>4.5</v>
      </c>
      <c r="E118" s="30">
        <v>1.04</v>
      </c>
      <c r="F118" s="31">
        <f>AVERAGE(L116:L117)</f>
        <v>145350</v>
      </c>
      <c r="G118" s="7">
        <f t="shared" si="20"/>
        <v>3633</v>
      </c>
      <c r="H118" s="52">
        <f t="shared" si="21"/>
        <v>3633</v>
      </c>
      <c r="I118"/>
      <c r="J118" s="22">
        <f t="shared" si="19"/>
        <v>6</v>
      </c>
      <c r="K118" s="23">
        <f>K117+0.08</f>
        <v>1.1599999999999999</v>
      </c>
      <c r="L118" s="7">
        <f>AMI_Table!$G$13*'AMI &amp; Rent'!$C110</f>
        <v>162090</v>
      </c>
      <c r="M118" s="32"/>
      <c r="N118"/>
      <c r="O118"/>
      <c r="P118"/>
      <c r="Q118"/>
      <c r="R118"/>
      <c r="S118"/>
      <c r="T118"/>
    </row>
    <row r="119" spans="3:20" ht="15.75" x14ac:dyDescent="0.25">
      <c r="C119" s="22" t="s">
        <v>6</v>
      </c>
      <c r="D119" s="29">
        <v>6</v>
      </c>
      <c r="E119" s="30">
        <v>1.1599999999999999</v>
      </c>
      <c r="F119" s="31">
        <f>L118</f>
        <v>162090</v>
      </c>
      <c r="G119" s="7">
        <f t="shared" si="20"/>
        <v>4052</v>
      </c>
      <c r="H119" s="52">
        <f t="shared" si="21"/>
        <v>4052</v>
      </c>
      <c r="I119"/>
      <c r="J119" s="22">
        <f>J120-1</f>
        <v>7</v>
      </c>
      <c r="K119" s="23">
        <f>K118+0.08</f>
        <v>1.24</v>
      </c>
      <c r="L119" s="7">
        <f>AMI_Table!$H$13*'AMI &amp; Rent'!$C110</f>
        <v>173340</v>
      </c>
      <c r="M119" s="32"/>
      <c r="N119"/>
      <c r="O119"/>
      <c r="P119"/>
      <c r="Q119"/>
      <c r="R119"/>
      <c r="S119"/>
      <c r="T119"/>
    </row>
    <row r="120" spans="3:20" ht="15.75" x14ac:dyDescent="0.25">
      <c r="C120" s="22" t="s">
        <v>7</v>
      </c>
      <c r="D120" s="29">
        <v>7.5</v>
      </c>
      <c r="E120" s="30">
        <f>1.28</f>
        <v>1.28</v>
      </c>
      <c r="F120" s="31">
        <f>AVERAGE(L119:L120)</f>
        <v>178920</v>
      </c>
      <c r="G120" s="7">
        <f t="shared" si="20"/>
        <v>4473</v>
      </c>
      <c r="H120" s="52">
        <f t="shared" si="21"/>
        <v>4473</v>
      </c>
      <c r="I120"/>
      <c r="J120" s="22">
        <v>8</v>
      </c>
      <c r="K120" s="23">
        <f>K119+0.08</f>
        <v>1.32</v>
      </c>
      <c r="L120" s="7">
        <f>AMI_Table!$I$13*'AMI &amp; Rent'!$C110</f>
        <v>184500</v>
      </c>
      <c r="M120" s="32"/>
      <c r="N120"/>
      <c r="O120"/>
      <c r="P120"/>
      <c r="Q120"/>
      <c r="R120"/>
      <c r="S120"/>
      <c r="T120"/>
    </row>
    <row r="121" spans="3:20" x14ac:dyDescent="0.2">
      <c r="H121"/>
      <c r="I121"/>
      <c r="J121" s="2"/>
      <c r="N121"/>
      <c r="O121"/>
      <c r="P121"/>
      <c r="Q121"/>
      <c r="R121"/>
      <c r="S121"/>
      <c r="T121"/>
    </row>
    <row r="122" spans="3:20" x14ac:dyDescent="0.2">
      <c r="H122"/>
      <c r="I122"/>
      <c r="J122" s="2"/>
      <c r="N122"/>
      <c r="O122"/>
      <c r="P122"/>
      <c r="Q122"/>
      <c r="R122"/>
      <c r="S122"/>
      <c r="T122"/>
    </row>
    <row r="123" spans="3:20" ht="15.75" x14ac:dyDescent="0.25">
      <c r="C123" s="57">
        <v>1</v>
      </c>
      <c r="D123" s="8" t="s">
        <v>9</v>
      </c>
      <c r="E123" s="7">
        <f>AMI_Table!$E$13*'AMI &amp; Rent'!$C123</f>
        <v>155300</v>
      </c>
      <c r="F123" s="9" t="s">
        <v>0</v>
      </c>
      <c r="G123" s="5"/>
      <c r="H123"/>
      <c r="I123"/>
      <c r="J123" s="2"/>
      <c r="N123"/>
      <c r="O123"/>
      <c r="P123"/>
      <c r="Q123"/>
      <c r="R123"/>
      <c r="S123"/>
      <c r="T123"/>
    </row>
    <row r="124" spans="3:20" x14ac:dyDescent="0.2">
      <c r="G124"/>
      <c r="H124"/>
      <c r="I124"/>
      <c r="J124" s="10"/>
      <c r="K124" s="11"/>
      <c r="L124" s="12" t="s">
        <v>10</v>
      </c>
      <c r="N124"/>
      <c r="O124"/>
      <c r="P124"/>
      <c r="Q124"/>
      <c r="R124"/>
      <c r="S124"/>
      <c r="T124"/>
    </row>
    <row r="125" spans="3:20" ht="15.75" customHeight="1" x14ac:dyDescent="0.25">
      <c r="C125" s="13"/>
      <c r="D125" s="14"/>
      <c r="E125" s="14"/>
      <c r="F125" s="14"/>
      <c r="G125" s="98" t="s">
        <v>33</v>
      </c>
      <c r="H125" s="98" t="s">
        <v>34</v>
      </c>
      <c r="I125"/>
      <c r="J125" s="15" t="s">
        <v>11</v>
      </c>
      <c r="K125" s="16" t="s">
        <v>12</v>
      </c>
      <c r="L125" s="17" t="s">
        <v>13</v>
      </c>
      <c r="M125" s="3"/>
      <c r="N125"/>
      <c r="O125"/>
      <c r="P125"/>
      <c r="Q125"/>
      <c r="R125"/>
      <c r="S125"/>
      <c r="T125"/>
    </row>
    <row r="126" spans="3:20" ht="15.75" x14ac:dyDescent="0.25">
      <c r="C126" s="18"/>
      <c r="D126" s="19"/>
      <c r="E126" s="19"/>
      <c r="F126" s="20" t="s">
        <v>10</v>
      </c>
      <c r="G126" s="99"/>
      <c r="H126" s="99"/>
      <c r="I126"/>
      <c r="J126" s="22">
        <f t="shared" ref="J126:J131" si="22">J127-1</f>
        <v>1</v>
      </c>
      <c r="K126" s="23">
        <v>0.7</v>
      </c>
      <c r="L126" s="7">
        <f>AMI_Table!$B$13*'AMI &amp; Rent'!$C123</f>
        <v>108700</v>
      </c>
      <c r="M126" s="21"/>
      <c r="N126"/>
      <c r="O126"/>
      <c r="P126"/>
      <c r="Q126"/>
      <c r="R126"/>
      <c r="S126"/>
      <c r="T126"/>
    </row>
    <row r="127" spans="3:20" ht="33" customHeight="1" x14ac:dyDescent="0.25">
      <c r="C127" s="24"/>
      <c r="D127" s="25" t="s">
        <v>14</v>
      </c>
      <c r="E127" s="26" t="s">
        <v>15</v>
      </c>
      <c r="F127" s="27" t="s">
        <v>13</v>
      </c>
      <c r="G127" s="100"/>
      <c r="H127" s="100"/>
      <c r="I127"/>
      <c r="J127" s="22">
        <f t="shared" si="22"/>
        <v>2</v>
      </c>
      <c r="K127" s="23">
        <f>K126+0.1</f>
        <v>0.79999999999999993</v>
      </c>
      <c r="L127" s="7">
        <f>AMI_Table!$C$13*'AMI &amp; Rent'!$C123</f>
        <v>124300</v>
      </c>
      <c r="M127" s="28"/>
      <c r="N127"/>
      <c r="O127"/>
      <c r="P127"/>
      <c r="Q127"/>
      <c r="R127"/>
      <c r="S127"/>
      <c r="T127"/>
    </row>
    <row r="128" spans="3:20" ht="15.75" x14ac:dyDescent="0.25">
      <c r="C128" s="22" t="s">
        <v>1</v>
      </c>
      <c r="D128" s="29">
        <v>1</v>
      </c>
      <c r="E128" s="30">
        <v>0.7</v>
      </c>
      <c r="F128" s="31">
        <f>AMI_Table!$B$13*'AMI &amp; Rent'!$C123</f>
        <v>108700</v>
      </c>
      <c r="G128" s="7">
        <f t="shared" ref="G128:G133" si="23">ROUNDDOWN(F128*$A$7/12,0)</f>
        <v>2717</v>
      </c>
      <c r="H128" s="52">
        <f t="shared" ref="H128:H133" si="24">G128-N18</f>
        <v>2620</v>
      </c>
      <c r="I128"/>
      <c r="J128" s="22">
        <f t="shared" si="22"/>
        <v>3</v>
      </c>
      <c r="K128" s="23">
        <f>K127+0.1</f>
        <v>0.89999999999999991</v>
      </c>
      <c r="L128" s="7">
        <f>AMI_Table!$D$13*'AMI &amp; Rent'!$C123</f>
        <v>139800</v>
      </c>
      <c r="M128" s="32"/>
      <c r="N128"/>
      <c r="O128"/>
      <c r="P128"/>
      <c r="Q128"/>
      <c r="R128"/>
      <c r="S128"/>
      <c r="T128"/>
    </row>
    <row r="129" spans="3:20" ht="15.75" x14ac:dyDescent="0.25">
      <c r="C129" s="22" t="s">
        <v>2</v>
      </c>
      <c r="D129" s="29">
        <v>1.5</v>
      </c>
      <c r="E129" s="30">
        <v>0.75</v>
      </c>
      <c r="F129" s="31">
        <f>AVERAGE(L126:L127)</f>
        <v>116500</v>
      </c>
      <c r="G129" s="7">
        <f t="shared" si="23"/>
        <v>2912</v>
      </c>
      <c r="H129" s="52">
        <f t="shared" si="24"/>
        <v>2784</v>
      </c>
      <c r="I129"/>
      <c r="J129" s="22">
        <f t="shared" si="22"/>
        <v>4</v>
      </c>
      <c r="K129" s="23">
        <f>K128+0.1</f>
        <v>0.99999999999999989</v>
      </c>
      <c r="L129" s="7">
        <f>AMI_Table!$E$13*'AMI &amp; Rent'!$C123</f>
        <v>155300</v>
      </c>
      <c r="M129" s="32"/>
      <c r="N129"/>
      <c r="O129"/>
      <c r="P129"/>
      <c r="Q129"/>
      <c r="R129"/>
      <c r="S129"/>
      <c r="T129"/>
    </row>
    <row r="130" spans="3:20" ht="15.75" x14ac:dyDescent="0.25">
      <c r="C130" s="22" t="s">
        <v>4</v>
      </c>
      <c r="D130" s="29">
        <v>3</v>
      </c>
      <c r="E130" s="30">
        <v>0.9</v>
      </c>
      <c r="F130" s="31">
        <f>L128</f>
        <v>139800</v>
      </c>
      <c r="G130" s="7">
        <f t="shared" si="23"/>
        <v>3495</v>
      </c>
      <c r="H130" s="52">
        <f t="shared" si="24"/>
        <v>3336</v>
      </c>
      <c r="I130"/>
      <c r="J130" s="22">
        <f t="shared" si="22"/>
        <v>5</v>
      </c>
      <c r="K130" s="23">
        <f>K129+0.08</f>
        <v>1.0799999999999998</v>
      </c>
      <c r="L130" s="7">
        <f>AMI_Table!$F$13*'AMI &amp; Rent'!$C123</f>
        <v>167700</v>
      </c>
      <c r="M130" s="32"/>
      <c r="N130"/>
      <c r="O130"/>
      <c r="P130"/>
      <c r="Q130"/>
      <c r="R130"/>
      <c r="S130"/>
      <c r="T130"/>
    </row>
    <row r="131" spans="3:20" ht="15.75" x14ac:dyDescent="0.25">
      <c r="C131" s="22" t="s">
        <v>5</v>
      </c>
      <c r="D131" s="29">
        <v>4.5</v>
      </c>
      <c r="E131" s="30">
        <v>1.04</v>
      </c>
      <c r="F131" s="31">
        <f>AVERAGE(L129:L130)</f>
        <v>161500</v>
      </c>
      <c r="G131" s="7">
        <f t="shared" si="23"/>
        <v>4037</v>
      </c>
      <c r="H131" s="52">
        <f t="shared" si="24"/>
        <v>3846</v>
      </c>
      <c r="I131"/>
      <c r="J131" s="22">
        <f t="shared" si="22"/>
        <v>6</v>
      </c>
      <c r="K131" s="23">
        <f>K130+0.08</f>
        <v>1.1599999999999999</v>
      </c>
      <c r="L131" s="7">
        <f>AMI_Table!$G$13*'AMI &amp; Rent'!$C123</f>
        <v>180100</v>
      </c>
      <c r="M131" s="32"/>
      <c r="N131"/>
      <c r="O131"/>
      <c r="P131"/>
      <c r="Q131"/>
      <c r="R131"/>
      <c r="S131"/>
      <c r="T131"/>
    </row>
    <row r="132" spans="3:20" ht="15.75" x14ac:dyDescent="0.25">
      <c r="C132" s="22" t="s">
        <v>6</v>
      </c>
      <c r="D132" s="29">
        <v>6</v>
      </c>
      <c r="E132" s="30">
        <v>1.1599999999999999</v>
      </c>
      <c r="F132" s="31">
        <f>L131</f>
        <v>180100</v>
      </c>
      <c r="G132" s="7">
        <f t="shared" si="23"/>
        <v>4502</v>
      </c>
      <c r="H132" s="52">
        <f t="shared" si="24"/>
        <v>4279</v>
      </c>
      <c r="I132"/>
      <c r="J132" s="22">
        <f>J133-1</f>
        <v>7</v>
      </c>
      <c r="K132" s="23">
        <f>K131+0.08</f>
        <v>1.24</v>
      </c>
      <c r="L132" s="7">
        <f>AMI_Table!$H$13*'AMI &amp; Rent'!$C123</f>
        <v>192600</v>
      </c>
      <c r="M132" s="32"/>
      <c r="N132"/>
      <c r="O132"/>
      <c r="P132"/>
      <c r="Q132"/>
      <c r="R132"/>
      <c r="S132"/>
      <c r="T132"/>
    </row>
    <row r="133" spans="3:20" ht="15.75" x14ac:dyDescent="0.25">
      <c r="C133" s="22" t="s">
        <v>7</v>
      </c>
      <c r="D133" s="29">
        <v>7.5</v>
      </c>
      <c r="E133" s="30">
        <f>1.28</f>
        <v>1.28</v>
      </c>
      <c r="F133" s="31">
        <f>AVERAGE(L132:L133)</f>
        <v>198800</v>
      </c>
      <c r="G133" s="7">
        <f t="shared" si="23"/>
        <v>4970</v>
      </c>
      <c r="H133" s="52">
        <f t="shared" si="24"/>
        <v>4970</v>
      </c>
      <c r="I133"/>
      <c r="J133" s="22">
        <v>8</v>
      </c>
      <c r="K133" s="23">
        <f>K132+0.08</f>
        <v>1.32</v>
      </c>
      <c r="L133" s="7">
        <f>AMI_Table!$I$13*'AMI &amp; Rent'!$C123</f>
        <v>205000</v>
      </c>
      <c r="M133" s="32"/>
      <c r="N133"/>
      <c r="O133"/>
      <c r="P133"/>
      <c r="Q133"/>
      <c r="R133"/>
      <c r="S133"/>
      <c r="T133"/>
    </row>
    <row r="134" spans="3:20" x14ac:dyDescent="0.2">
      <c r="H134"/>
      <c r="I134"/>
      <c r="J134" s="2"/>
      <c r="N134"/>
      <c r="O134"/>
      <c r="P134"/>
      <c r="Q134"/>
      <c r="R134"/>
      <c r="S134"/>
      <c r="T134"/>
    </row>
    <row r="135" spans="3:20" x14ac:dyDescent="0.2">
      <c r="H135" s="62"/>
      <c r="I135" s="62"/>
      <c r="J135" s="63"/>
      <c r="K135" s="63"/>
      <c r="L135" s="63"/>
      <c r="M135" s="63"/>
      <c r="N135"/>
      <c r="O135"/>
      <c r="P135"/>
      <c r="Q135"/>
      <c r="R135"/>
      <c r="S135"/>
      <c r="T135"/>
    </row>
    <row r="136" spans="3:20" ht="15.75" x14ac:dyDescent="0.25">
      <c r="C136" s="57">
        <v>1.1000000000000001</v>
      </c>
      <c r="D136" s="8" t="s">
        <v>9</v>
      </c>
      <c r="E136" s="7">
        <f>AMI_Table!$E$13*'AMI &amp; Rent'!$C136</f>
        <v>170830</v>
      </c>
      <c r="F136" s="9" t="s">
        <v>0</v>
      </c>
      <c r="G136" s="5"/>
      <c r="H136"/>
      <c r="I136"/>
      <c r="J136" s="2"/>
      <c r="N136"/>
      <c r="O136"/>
      <c r="P136"/>
      <c r="Q136"/>
      <c r="R136"/>
      <c r="S136"/>
      <c r="T136"/>
    </row>
    <row r="137" spans="3:20" x14ac:dyDescent="0.2">
      <c r="G137"/>
      <c r="H137"/>
      <c r="I137"/>
      <c r="J137" s="10"/>
      <c r="K137" s="11"/>
      <c r="L137" s="12" t="s">
        <v>10</v>
      </c>
      <c r="N137"/>
      <c r="O137"/>
      <c r="P137"/>
      <c r="Q137"/>
      <c r="R137"/>
      <c r="S137"/>
      <c r="T137"/>
    </row>
    <row r="138" spans="3:20" ht="15.75" customHeight="1" x14ac:dyDescent="0.25">
      <c r="C138" s="13"/>
      <c r="D138" s="14"/>
      <c r="E138" s="14"/>
      <c r="F138" s="14"/>
      <c r="G138" s="98" t="s">
        <v>33</v>
      </c>
      <c r="H138" s="98" t="s">
        <v>34</v>
      </c>
      <c r="I138"/>
      <c r="J138" s="15" t="s">
        <v>11</v>
      </c>
      <c r="K138" s="16" t="s">
        <v>12</v>
      </c>
      <c r="L138" s="17" t="s">
        <v>13</v>
      </c>
      <c r="M138" s="3"/>
      <c r="N138"/>
      <c r="O138"/>
      <c r="P138"/>
      <c r="Q138"/>
      <c r="R138"/>
      <c r="S138"/>
      <c r="T138"/>
    </row>
    <row r="139" spans="3:20" ht="15.75" x14ac:dyDescent="0.25">
      <c r="C139" s="18"/>
      <c r="D139" s="19"/>
      <c r="E139" s="19"/>
      <c r="F139" s="20" t="s">
        <v>10</v>
      </c>
      <c r="G139" s="99"/>
      <c r="H139" s="99"/>
      <c r="I139"/>
      <c r="J139" s="22">
        <f t="shared" ref="J139:J144" si="25">J140-1</f>
        <v>1</v>
      </c>
      <c r="K139" s="23">
        <v>0.7</v>
      </c>
      <c r="L139" s="7">
        <f>AMI_Table!$B$13*'AMI &amp; Rent'!$C136</f>
        <v>119570.00000000001</v>
      </c>
      <c r="M139" s="21"/>
      <c r="N139"/>
      <c r="O139"/>
      <c r="P139"/>
      <c r="Q139"/>
      <c r="R139"/>
      <c r="S139"/>
      <c r="T139"/>
    </row>
    <row r="140" spans="3:20" ht="33" customHeight="1" x14ac:dyDescent="0.25">
      <c r="C140" s="24"/>
      <c r="D140" s="25" t="s">
        <v>14</v>
      </c>
      <c r="E140" s="26" t="s">
        <v>15</v>
      </c>
      <c r="F140" s="27" t="s">
        <v>13</v>
      </c>
      <c r="G140" s="100"/>
      <c r="H140" s="100"/>
      <c r="I140"/>
      <c r="J140" s="22">
        <f t="shared" si="25"/>
        <v>2</v>
      </c>
      <c r="K140" s="23">
        <f>K139+0.1</f>
        <v>0.79999999999999993</v>
      </c>
      <c r="L140" s="7">
        <f>AMI_Table!$C$13*'AMI &amp; Rent'!$C136</f>
        <v>136730</v>
      </c>
      <c r="M140" s="28"/>
      <c r="N140"/>
      <c r="O140"/>
      <c r="P140"/>
      <c r="Q140"/>
      <c r="R140"/>
      <c r="S140"/>
      <c r="T140"/>
    </row>
    <row r="141" spans="3:20" ht="15.75" x14ac:dyDescent="0.25">
      <c r="C141" s="22" t="s">
        <v>1</v>
      </c>
      <c r="D141" s="29">
        <v>1</v>
      </c>
      <c r="E141" s="30">
        <v>0.7</v>
      </c>
      <c r="F141" s="31">
        <f>AMI_Table!$B$13*'AMI &amp; Rent'!$C136</f>
        <v>119570.00000000001</v>
      </c>
      <c r="G141" s="7">
        <f t="shared" ref="G141:G146" si="26">ROUNDDOWN(F141*$A$7/12,0)</f>
        <v>2989</v>
      </c>
      <c r="H141" s="52">
        <f t="shared" ref="H141:H146" si="27">G141-N17</f>
        <v>2904</v>
      </c>
      <c r="I141"/>
      <c r="J141" s="22">
        <f t="shared" si="25"/>
        <v>3</v>
      </c>
      <c r="K141" s="23">
        <f>K140+0.1</f>
        <v>0.89999999999999991</v>
      </c>
      <c r="L141" s="7">
        <f>AMI_Table!$D$13*'AMI &amp; Rent'!$C136</f>
        <v>153780</v>
      </c>
      <c r="M141" s="32"/>
      <c r="N141"/>
      <c r="O141"/>
      <c r="P141"/>
      <c r="Q141"/>
      <c r="R141"/>
      <c r="S141"/>
      <c r="T141"/>
    </row>
    <row r="142" spans="3:20" ht="15.75" x14ac:dyDescent="0.25">
      <c r="C142" s="22" t="s">
        <v>2</v>
      </c>
      <c r="D142" s="29">
        <v>1.5</v>
      </c>
      <c r="E142" s="30">
        <v>0.75</v>
      </c>
      <c r="F142" s="31">
        <f>AVERAGE(L139:L140)</f>
        <v>128150</v>
      </c>
      <c r="G142" s="7">
        <f t="shared" si="26"/>
        <v>3203</v>
      </c>
      <c r="H142" s="52">
        <f t="shared" si="27"/>
        <v>3106</v>
      </c>
      <c r="I142"/>
      <c r="J142" s="22">
        <f t="shared" si="25"/>
        <v>4</v>
      </c>
      <c r="K142" s="23">
        <f>K141+0.1</f>
        <v>0.99999999999999989</v>
      </c>
      <c r="L142" s="7">
        <f>AMI_Table!$E$13*'AMI &amp; Rent'!$C136</f>
        <v>170830</v>
      </c>
      <c r="M142" s="32"/>
      <c r="N142"/>
      <c r="O142"/>
      <c r="P142"/>
      <c r="Q142"/>
      <c r="R142"/>
      <c r="S142"/>
      <c r="T142"/>
    </row>
    <row r="143" spans="3:20" ht="15.75" x14ac:dyDescent="0.25">
      <c r="C143" s="22" t="s">
        <v>4</v>
      </c>
      <c r="D143" s="29">
        <v>3</v>
      </c>
      <c r="E143" s="30">
        <v>0.9</v>
      </c>
      <c r="F143" s="31">
        <f>L141</f>
        <v>153780</v>
      </c>
      <c r="G143" s="7">
        <f t="shared" si="26"/>
        <v>3844</v>
      </c>
      <c r="H143" s="52">
        <f t="shared" si="27"/>
        <v>3716</v>
      </c>
      <c r="I143"/>
      <c r="J143" s="22">
        <f t="shared" si="25"/>
        <v>5</v>
      </c>
      <c r="K143" s="23">
        <f>K142+0.08</f>
        <v>1.0799999999999998</v>
      </c>
      <c r="L143" s="7">
        <f>AMI_Table!$F$13*'AMI &amp; Rent'!$C136</f>
        <v>184470.00000000003</v>
      </c>
      <c r="M143" s="32"/>
      <c r="N143"/>
      <c r="O143"/>
      <c r="P143"/>
      <c r="Q143"/>
      <c r="R143"/>
      <c r="S143"/>
      <c r="T143"/>
    </row>
    <row r="144" spans="3:20" ht="15.75" x14ac:dyDescent="0.25">
      <c r="C144" s="22" t="s">
        <v>5</v>
      </c>
      <c r="D144" s="29">
        <v>4.5</v>
      </c>
      <c r="E144" s="30">
        <v>1.04</v>
      </c>
      <c r="F144" s="31">
        <f>AVERAGE(L142:L143)</f>
        <v>177650</v>
      </c>
      <c r="G144" s="7">
        <f t="shared" si="26"/>
        <v>4441</v>
      </c>
      <c r="H144" s="52">
        <f t="shared" si="27"/>
        <v>4282</v>
      </c>
      <c r="I144"/>
      <c r="J144" s="22">
        <f t="shared" si="25"/>
        <v>6</v>
      </c>
      <c r="K144" s="23">
        <f>K143+0.08</f>
        <v>1.1599999999999999</v>
      </c>
      <c r="L144" s="7">
        <f>AMI_Table!$G$13*'AMI &amp; Rent'!$C136</f>
        <v>198110.00000000003</v>
      </c>
      <c r="M144" s="32"/>
      <c r="N144"/>
      <c r="O144"/>
      <c r="P144"/>
      <c r="Q144"/>
      <c r="R144"/>
      <c r="S144"/>
      <c r="T144"/>
    </row>
    <row r="145" spans="3:20" ht="15.75" x14ac:dyDescent="0.25">
      <c r="C145" s="22" t="s">
        <v>6</v>
      </c>
      <c r="D145" s="29">
        <v>6</v>
      </c>
      <c r="E145" s="30">
        <v>1.1599999999999999</v>
      </c>
      <c r="F145" s="31">
        <f>L144</f>
        <v>198110.00000000003</v>
      </c>
      <c r="G145" s="7">
        <f t="shared" si="26"/>
        <v>4952</v>
      </c>
      <c r="H145" s="52">
        <f t="shared" si="27"/>
        <v>4761</v>
      </c>
      <c r="I145"/>
      <c r="J145" s="22">
        <f>J146-1</f>
        <v>7</v>
      </c>
      <c r="K145" s="23">
        <f>K144+0.08</f>
        <v>1.24</v>
      </c>
      <c r="L145" s="7">
        <f>AMI_Table!$H$13*'AMI &amp; Rent'!$C136</f>
        <v>211860.00000000003</v>
      </c>
      <c r="M145" s="32"/>
      <c r="N145"/>
      <c r="O145"/>
      <c r="P145"/>
      <c r="Q145"/>
      <c r="R145"/>
      <c r="S145"/>
      <c r="T145"/>
    </row>
    <row r="146" spans="3:20" ht="15.75" x14ac:dyDescent="0.25">
      <c r="C146" s="22" t="s">
        <v>7</v>
      </c>
      <c r="D146" s="29">
        <v>7.5</v>
      </c>
      <c r="E146" s="30">
        <f>1.28</f>
        <v>1.28</v>
      </c>
      <c r="F146" s="31">
        <f>AVERAGE(L145:L146)</f>
        <v>218680.00000000003</v>
      </c>
      <c r="G146" s="7">
        <f t="shared" si="26"/>
        <v>5467</v>
      </c>
      <c r="H146" s="52">
        <f t="shared" si="27"/>
        <v>5244</v>
      </c>
      <c r="I146"/>
      <c r="J146" s="22">
        <v>8</v>
      </c>
      <c r="K146" s="23">
        <f>K145+0.08</f>
        <v>1.32</v>
      </c>
      <c r="L146" s="7">
        <f>AMI_Table!$I$13*'AMI &amp; Rent'!$C136</f>
        <v>225500.00000000003</v>
      </c>
      <c r="M146" s="32"/>
      <c r="N146"/>
      <c r="O146"/>
      <c r="P146"/>
      <c r="Q146"/>
      <c r="R146"/>
      <c r="S146"/>
      <c r="T146"/>
    </row>
    <row r="147" spans="3:20" x14ac:dyDescent="0.2">
      <c r="H147"/>
      <c r="I147"/>
      <c r="J147" s="2"/>
      <c r="N147"/>
      <c r="O147"/>
      <c r="P147"/>
      <c r="Q147"/>
      <c r="R147"/>
      <c r="S147"/>
      <c r="T147"/>
    </row>
    <row r="148" spans="3:20" x14ac:dyDescent="0.2">
      <c r="H148"/>
      <c r="I148"/>
      <c r="J148" s="2"/>
      <c r="N148"/>
      <c r="O148"/>
      <c r="P148"/>
      <c r="Q148"/>
      <c r="R148"/>
      <c r="S148"/>
      <c r="T148"/>
    </row>
    <row r="149" spans="3:20" ht="15.75" x14ac:dyDescent="0.25">
      <c r="C149" s="57">
        <v>1.2</v>
      </c>
      <c r="D149" s="8" t="s">
        <v>9</v>
      </c>
      <c r="E149" s="7">
        <f>AMI_Table!$E$13*'AMI &amp; Rent'!$C149</f>
        <v>186360</v>
      </c>
      <c r="F149" s="9" t="s">
        <v>0</v>
      </c>
      <c r="G149" s="5"/>
      <c r="H149"/>
      <c r="I149"/>
      <c r="J149" s="2"/>
      <c r="N149"/>
      <c r="O149"/>
      <c r="P149"/>
      <c r="Q149"/>
      <c r="R149"/>
      <c r="S149"/>
      <c r="T149"/>
    </row>
    <row r="150" spans="3:20" x14ac:dyDescent="0.2">
      <c r="G150"/>
      <c r="H150"/>
      <c r="I150"/>
      <c r="J150" s="10"/>
      <c r="K150" s="11"/>
      <c r="L150" s="12" t="s">
        <v>10</v>
      </c>
      <c r="N150"/>
      <c r="O150"/>
      <c r="P150"/>
      <c r="Q150"/>
      <c r="R150"/>
      <c r="S150"/>
      <c r="T150"/>
    </row>
    <row r="151" spans="3:20" ht="15.75" customHeight="1" x14ac:dyDescent="0.25">
      <c r="C151" s="13"/>
      <c r="D151" s="14"/>
      <c r="E151" s="14"/>
      <c r="F151" s="14"/>
      <c r="G151" s="98" t="s">
        <v>33</v>
      </c>
      <c r="H151" s="98" t="s">
        <v>34</v>
      </c>
      <c r="I151"/>
      <c r="J151" s="15" t="s">
        <v>11</v>
      </c>
      <c r="K151" s="16" t="s">
        <v>12</v>
      </c>
      <c r="L151" s="17" t="s">
        <v>13</v>
      </c>
      <c r="M151" s="3"/>
      <c r="N151"/>
      <c r="O151"/>
      <c r="P151"/>
      <c r="Q151"/>
      <c r="R151"/>
      <c r="S151"/>
      <c r="T151"/>
    </row>
    <row r="152" spans="3:20" ht="15.75" x14ac:dyDescent="0.25">
      <c r="C152" s="18"/>
      <c r="D152" s="19"/>
      <c r="E152" s="19"/>
      <c r="F152" s="20" t="s">
        <v>10</v>
      </c>
      <c r="G152" s="99"/>
      <c r="H152" s="99"/>
      <c r="I152"/>
      <c r="J152" s="22">
        <f t="shared" ref="J152:J157" si="28">J153-1</f>
        <v>1</v>
      </c>
      <c r="K152" s="23">
        <v>0.7</v>
      </c>
      <c r="L152" s="7">
        <f>AMI_Table!$B$13*'AMI &amp; Rent'!$C149</f>
        <v>130440</v>
      </c>
      <c r="M152" s="21"/>
      <c r="N152"/>
      <c r="O152"/>
      <c r="P152"/>
      <c r="Q152"/>
      <c r="R152"/>
      <c r="S152"/>
      <c r="T152"/>
    </row>
    <row r="153" spans="3:20" ht="33" customHeight="1" x14ac:dyDescent="0.25">
      <c r="C153" s="24"/>
      <c r="D153" s="25" t="s">
        <v>14</v>
      </c>
      <c r="E153" s="26" t="s">
        <v>15</v>
      </c>
      <c r="F153" s="27" t="s">
        <v>13</v>
      </c>
      <c r="G153" s="100"/>
      <c r="H153" s="100"/>
      <c r="I153"/>
      <c r="J153" s="22">
        <f t="shared" si="28"/>
        <v>2</v>
      </c>
      <c r="K153" s="23">
        <f>K152+0.1</f>
        <v>0.79999999999999993</v>
      </c>
      <c r="L153" s="7">
        <f>AMI_Table!$C$13*'AMI &amp; Rent'!$C149</f>
        <v>149160</v>
      </c>
      <c r="M153" s="28"/>
      <c r="N153"/>
      <c r="O153"/>
      <c r="P153"/>
      <c r="Q153"/>
      <c r="R153"/>
      <c r="S153"/>
      <c r="T153"/>
    </row>
    <row r="154" spans="3:20" ht="15.75" x14ac:dyDescent="0.25">
      <c r="C154" s="22" t="s">
        <v>1</v>
      </c>
      <c r="D154" s="29">
        <v>1</v>
      </c>
      <c r="E154" s="30">
        <v>0.7</v>
      </c>
      <c r="F154" s="31">
        <f>AMI_Table!$B$13*'AMI &amp; Rent'!$C149</f>
        <v>130440</v>
      </c>
      <c r="G154" s="7">
        <f t="shared" ref="G154:G159" si="29">ROUNDDOWN(F154*$A$7/12,0)</f>
        <v>3261</v>
      </c>
      <c r="H154" s="52">
        <f t="shared" ref="H154:H159" si="30">G154-N30</f>
        <v>3261</v>
      </c>
      <c r="I154"/>
      <c r="J154" s="22">
        <f t="shared" si="28"/>
        <v>3</v>
      </c>
      <c r="K154" s="23">
        <f>K153+0.1</f>
        <v>0.89999999999999991</v>
      </c>
      <c r="L154" s="7">
        <f>AMI_Table!$D$13*'AMI &amp; Rent'!$C149</f>
        <v>167760</v>
      </c>
      <c r="M154" s="32"/>
      <c r="N154"/>
      <c r="O154"/>
      <c r="P154"/>
      <c r="Q154"/>
      <c r="R154"/>
      <c r="S154"/>
      <c r="T154"/>
    </row>
    <row r="155" spans="3:20" ht="15.75" x14ac:dyDescent="0.25">
      <c r="C155" s="22" t="s">
        <v>2</v>
      </c>
      <c r="D155" s="29">
        <v>1.5</v>
      </c>
      <c r="E155" s="30">
        <v>0.75</v>
      </c>
      <c r="F155" s="31">
        <f>AVERAGE(L152:L153)</f>
        <v>139800</v>
      </c>
      <c r="G155" s="7">
        <f t="shared" si="29"/>
        <v>3495</v>
      </c>
      <c r="H155" s="52">
        <f t="shared" si="30"/>
        <v>3495</v>
      </c>
      <c r="I155"/>
      <c r="J155" s="22">
        <f t="shared" si="28"/>
        <v>4</v>
      </c>
      <c r="K155" s="23">
        <f>K154+0.1</f>
        <v>0.99999999999999989</v>
      </c>
      <c r="L155" s="7">
        <f>AMI_Table!$E$13*'AMI &amp; Rent'!$C149</f>
        <v>186360</v>
      </c>
      <c r="M155" s="32"/>
      <c r="N155"/>
      <c r="O155"/>
      <c r="P155"/>
      <c r="Q155"/>
      <c r="R155"/>
      <c r="S155"/>
      <c r="T155"/>
    </row>
    <row r="156" spans="3:20" ht="15.75" x14ac:dyDescent="0.25">
      <c r="C156" s="22" t="s">
        <v>4</v>
      </c>
      <c r="D156" s="29">
        <v>3</v>
      </c>
      <c r="E156" s="30">
        <v>0.9</v>
      </c>
      <c r="F156" s="31">
        <f>L154</f>
        <v>167760</v>
      </c>
      <c r="G156" s="7">
        <f t="shared" si="29"/>
        <v>4194</v>
      </c>
      <c r="H156" s="52">
        <f t="shared" si="30"/>
        <v>4194</v>
      </c>
      <c r="I156"/>
      <c r="J156" s="22">
        <f t="shared" si="28"/>
        <v>5</v>
      </c>
      <c r="K156" s="23">
        <f>K155+0.08</f>
        <v>1.0799999999999998</v>
      </c>
      <c r="L156" s="7">
        <f>AMI_Table!$F$13*'AMI &amp; Rent'!$C149</f>
        <v>201240</v>
      </c>
      <c r="M156" s="32"/>
      <c r="N156"/>
      <c r="O156"/>
      <c r="P156"/>
      <c r="Q156"/>
      <c r="R156"/>
      <c r="S156"/>
      <c r="T156"/>
    </row>
    <row r="157" spans="3:20" ht="15.75" x14ac:dyDescent="0.25">
      <c r="C157" s="22" t="s">
        <v>5</v>
      </c>
      <c r="D157" s="29">
        <v>4.5</v>
      </c>
      <c r="E157" s="30">
        <v>1.04</v>
      </c>
      <c r="F157" s="31">
        <f>AVERAGE(L155:L156)</f>
        <v>193800</v>
      </c>
      <c r="G157" s="7">
        <f t="shared" si="29"/>
        <v>4845</v>
      </c>
      <c r="H157" s="52">
        <f t="shared" si="30"/>
        <v>4845</v>
      </c>
      <c r="I157"/>
      <c r="J157" s="22">
        <f t="shared" si="28"/>
        <v>6</v>
      </c>
      <c r="K157" s="23">
        <f>K156+0.08</f>
        <v>1.1599999999999999</v>
      </c>
      <c r="L157" s="7">
        <f>AMI_Table!$G$13*'AMI &amp; Rent'!$C149</f>
        <v>216120</v>
      </c>
      <c r="M157" s="32"/>
      <c r="N157"/>
      <c r="O157"/>
      <c r="P157"/>
      <c r="Q157"/>
      <c r="R157"/>
      <c r="S157"/>
      <c r="T157"/>
    </row>
    <row r="158" spans="3:20" ht="15.75" x14ac:dyDescent="0.25">
      <c r="C158" s="22" t="s">
        <v>6</v>
      </c>
      <c r="D158" s="29">
        <v>6</v>
      </c>
      <c r="E158" s="30">
        <v>1.1599999999999999</v>
      </c>
      <c r="F158" s="31">
        <f>L157</f>
        <v>216120</v>
      </c>
      <c r="G158" s="7">
        <f t="shared" si="29"/>
        <v>5403</v>
      </c>
      <c r="H158" s="52">
        <f t="shared" si="30"/>
        <v>5403</v>
      </c>
      <c r="I158"/>
      <c r="J158" s="22">
        <f>J159-1</f>
        <v>7</v>
      </c>
      <c r="K158" s="23">
        <f>K157+0.08</f>
        <v>1.24</v>
      </c>
      <c r="L158" s="7">
        <f>AMI_Table!$H$13*'AMI &amp; Rent'!$C149</f>
        <v>231120</v>
      </c>
      <c r="M158" s="32"/>
      <c r="N158"/>
      <c r="O158"/>
      <c r="P158"/>
      <c r="Q158"/>
      <c r="R158"/>
      <c r="S158"/>
      <c r="T158"/>
    </row>
    <row r="159" spans="3:20" ht="15.75" x14ac:dyDescent="0.25">
      <c r="C159" s="22" t="s">
        <v>7</v>
      </c>
      <c r="D159" s="29">
        <v>7.5</v>
      </c>
      <c r="E159" s="30">
        <f>1.28</f>
        <v>1.28</v>
      </c>
      <c r="F159" s="31">
        <f>AVERAGE(L158:L159)</f>
        <v>238560</v>
      </c>
      <c r="G159" s="7">
        <f t="shared" si="29"/>
        <v>5964</v>
      </c>
      <c r="H159" s="52">
        <f t="shared" si="30"/>
        <v>5964</v>
      </c>
      <c r="I159"/>
      <c r="J159" s="22">
        <v>8</v>
      </c>
      <c r="K159" s="23">
        <f>K158+0.08</f>
        <v>1.32</v>
      </c>
      <c r="L159" s="7">
        <f>AMI_Table!$I$13*'AMI &amp; Rent'!$C149</f>
        <v>246000</v>
      </c>
      <c r="M159" s="32"/>
      <c r="N159"/>
      <c r="O159"/>
      <c r="P159"/>
      <c r="Q159"/>
      <c r="R159"/>
      <c r="S159"/>
      <c r="T159"/>
    </row>
    <row r="160" spans="3:20" x14ac:dyDescent="0.2">
      <c r="H160"/>
      <c r="I160"/>
      <c r="J160" s="2"/>
      <c r="N160"/>
      <c r="O160"/>
      <c r="P160"/>
      <c r="Q160"/>
      <c r="R160"/>
      <c r="S160"/>
      <c r="T160"/>
    </row>
    <row r="161" spans="3:20" x14ac:dyDescent="0.2">
      <c r="G161" s="61"/>
      <c r="H161" s="62"/>
      <c r="I161" s="62"/>
      <c r="J161" s="63"/>
      <c r="K161" s="63"/>
      <c r="L161" s="63"/>
      <c r="M161" s="63"/>
      <c r="N161"/>
      <c r="O161"/>
      <c r="P161"/>
      <c r="Q161"/>
      <c r="R161"/>
      <c r="S161"/>
      <c r="T161"/>
    </row>
    <row r="162" spans="3:20" ht="15.75" x14ac:dyDescent="0.25">
      <c r="C162" s="57">
        <v>1.3</v>
      </c>
      <c r="D162" s="8" t="s">
        <v>9</v>
      </c>
      <c r="E162" s="7">
        <f>AMI_Table!$E$13*'AMI &amp; Rent'!$C162</f>
        <v>201890</v>
      </c>
      <c r="F162" s="9" t="s">
        <v>0</v>
      </c>
      <c r="G162" s="2"/>
      <c r="H162"/>
      <c r="I162"/>
      <c r="J162" s="2"/>
      <c r="N162"/>
      <c r="O162"/>
      <c r="P162"/>
      <c r="Q162"/>
      <c r="R162"/>
      <c r="S162"/>
      <c r="T162"/>
    </row>
    <row r="163" spans="3:20" x14ac:dyDescent="0.2">
      <c r="G163"/>
      <c r="H163"/>
      <c r="I163"/>
      <c r="J163" s="10"/>
      <c r="K163" s="11"/>
      <c r="L163" s="12" t="s">
        <v>10</v>
      </c>
      <c r="N163"/>
      <c r="O163"/>
      <c r="P163"/>
      <c r="Q163"/>
      <c r="R163"/>
      <c r="S163"/>
      <c r="T163"/>
    </row>
    <row r="164" spans="3:20" ht="15.75" customHeight="1" x14ac:dyDescent="0.25">
      <c r="C164" s="13"/>
      <c r="D164" s="14"/>
      <c r="E164" s="14"/>
      <c r="F164" s="14"/>
      <c r="G164" s="98" t="s">
        <v>33</v>
      </c>
      <c r="H164" s="98" t="s">
        <v>34</v>
      </c>
      <c r="I164"/>
      <c r="J164" s="15" t="s">
        <v>11</v>
      </c>
      <c r="K164" s="16" t="s">
        <v>12</v>
      </c>
      <c r="L164" s="17" t="s">
        <v>13</v>
      </c>
      <c r="M164" s="3"/>
      <c r="N164"/>
      <c r="O164"/>
      <c r="P164"/>
      <c r="Q164"/>
      <c r="R164"/>
      <c r="S164"/>
      <c r="T164"/>
    </row>
    <row r="165" spans="3:20" ht="15.75" x14ac:dyDescent="0.25">
      <c r="C165" s="18"/>
      <c r="D165" s="19"/>
      <c r="E165" s="19"/>
      <c r="F165" s="20" t="s">
        <v>10</v>
      </c>
      <c r="G165" s="99"/>
      <c r="H165" s="99"/>
      <c r="I165"/>
      <c r="J165" s="22">
        <f t="shared" ref="J165:J170" si="31">J166-1</f>
        <v>1</v>
      </c>
      <c r="K165" s="23">
        <v>0.7</v>
      </c>
      <c r="L165" s="7">
        <f>AMI_Table!$B$13*'AMI &amp; Rent'!$C162</f>
        <v>141310</v>
      </c>
      <c r="M165" s="21"/>
      <c r="N165"/>
      <c r="O165"/>
      <c r="P165"/>
      <c r="Q165"/>
      <c r="R165"/>
      <c r="S165"/>
      <c r="T165"/>
    </row>
    <row r="166" spans="3:20" ht="30.95" customHeight="1" x14ac:dyDescent="0.25">
      <c r="C166" s="24"/>
      <c r="D166" s="25" t="s">
        <v>14</v>
      </c>
      <c r="E166" s="26" t="s">
        <v>15</v>
      </c>
      <c r="F166" s="27" t="s">
        <v>13</v>
      </c>
      <c r="G166" s="100"/>
      <c r="H166" s="100"/>
      <c r="I166"/>
      <c r="J166" s="22">
        <f t="shared" si="31"/>
        <v>2</v>
      </c>
      <c r="K166" s="23">
        <f>K165+0.1</f>
        <v>0.79999999999999993</v>
      </c>
      <c r="L166" s="7">
        <f>AMI_Table!$C$13*'AMI &amp; Rent'!$C162</f>
        <v>161590</v>
      </c>
      <c r="M166" s="28"/>
      <c r="N166"/>
      <c r="O166"/>
      <c r="P166"/>
      <c r="Q166"/>
      <c r="R166"/>
      <c r="S166"/>
      <c r="T166"/>
    </row>
    <row r="167" spans="3:20" ht="15.75" x14ac:dyDescent="0.25">
      <c r="C167" s="22" t="s">
        <v>1</v>
      </c>
      <c r="D167" s="29">
        <v>1</v>
      </c>
      <c r="E167" s="30">
        <v>0.7</v>
      </c>
      <c r="F167" s="31">
        <f>AMI_Table!$B$13*'AMI &amp; Rent'!$C162</f>
        <v>141310</v>
      </c>
      <c r="G167" s="7">
        <f t="shared" ref="G167:G172" si="32">ROUNDDOWN(F167*$A$7/12,0)</f>
        <v>3532</v>
      </c>
      <c r="H167" s="52">
        <f t="shared" ref="H167:H172" si="33">G167-N17</f>
        <v>3447</v>
      </c>
      <c r="I167"/>
      <c r="J167" s="22">
        <f t="shared" si="31"/>
        <v>3</v>
      </c>
      <c r="K167" s="23">
        <f>K166+0.1</f>
        <v>0.89999999999999991</v>
      </c>
      <c r="L167" s="7">
        <f>AMI_Table!$D$13*'AMI &amp; Rent'!$C162</f>
        <v>181740</v>
      </c>
      <c r="M167" s="32"/>
      <c r="N167"/>
      <c r="O167"/>
      <c r="P167"/>
      <c r="Q167"/>
      <c r="R167"/>
      <c r="S167"/>
      <c r="T167"/>
    </row>
    <row r="168" spans="3:20" ht="15.75" x14ac:dyDescent="0.25">
      <c r="C168" s="22" t="s">
        <v>2</v>
      </c>
      <c r="D168" s="29">
        <v>1.5</v>
      </c>
      <c r="E168" s="30">
        <v>0.75</v>
      </c>
      <c r="F168" s="31">
        <f>AVERAGE(L165:L166)</f>
        <v>151450</v>
      </c>
      <c r="G168" s="7">
        <f t="shared" si="32"/>
        <v>3786</v>
      </c>
      <c r="H168" s="52">
        <f t="shared" si="33"/>
        <v>3689</v>
      </c>
      <c r="I168"/>
      <c r="J168" s="22">
        <f t="shared" si="31"/>
        <v>4</v>
      </c>
      <c r="K168" s="23">
        <f>K167+0.1</f>
        <v>0.99999999999999989</v>
      </c>
      <c r="L168" s="7">
        <f>AMI_Table!$E$13*'AMI &amp; Rent'!$C162</f>
        <v>201890</v>
      </c>
      <c r="M168" s="32"/>
      <c r="N168"/>
      <c r="O168"/>
      <c r="P168"/>
      <c r="Q168"/>
      <c r="R168"/>
      <c r="S168"/>
      <c r="T168"/>
    </row>
    <row r="169" spans="3:20" ht="15.75" x14ac:dyDescent="0.25">
      <c r="C169" s="22" t="s">
        <v>4</v>
      </c>
      <c r="D169" s="29">
        <v>3</v>
      </c>
      <c r="E169" s="30">
        <v>0.9</v>
      </c>
      <c r="F169" s="31">
        <f>L167</f>
        <v>181740</v>
      </c>
      <c r="G169" s="7">
        <f t="shared" si="32"/>
        <v>4543</v>
      </c>
      <c r="H169" s="52">
        <f t="shared" si="33"/>
        <v>4415</v>
      </c>
      <c r="I169"/>
      <c r="J169" s="22">
        <f t="shared" si="31"/>
        <v>5</v>
      </c>
      <c r="K169" s="23">
        <f>K168+0.08</f>
        <v>1.0799999999999998</v>
      </c>
      <c r="L169" s="7">
        <f>AMI_Table!$F$13*'AMI &amp; Rent'!$C162</f>
        <v>218010</v>
      </c>
      <c r="M169" s="32"/>
      <c r="N169"/>
      <c r="O169"/>
      <c r="P169"/>
      <c r="Q169"/>
      <c r="R169"/>
      <c r="S169"/>
      <c r="T169"/>
    </row>
    <row r="170" spans="3:20" ht="15.75" x14ac:dyDescent="0.25">
      <c r="C170" s="22" t="s">
        <v>5</v>
      </c>
      <c r="D170" s="29">
        <v>4.5</v>
      </c>
      <c r="E170" s="30">
        <v>1.04</v>
      </c>
      <c r="F170" s="31">
        <f>AVERAGE(L168:L169)</f>
        <v>209950</v>
      </c>
      <c r="G170" s="7">
        <f t="shared" si="32"/>
        <v>5248</v>
      </c>
      <c r="H170" s="52">
        <f t="shared" si="33"/>
        <v>5089</v>
      </c>
      <c r="I170"/>
      <c r="J170" s="22">
        <f t="shared" si="31"/>
        <v>6</v>
      </c>
      <c r="K170" s="23">
        <f>K169+0.08</f>
        <v>1.1599999999999999</v>
      </c>
      <c r="L170" s="7">
        <f>AMI_Table!$G$13*'AMI &amp; Rent'!$C162</f>
        <v>234130</v>
      </c>
      <c r="M170" s="32"/>
      <c r="N170"/>
      <c r="O170"/>
      <c r="P170"/>
      <c r="Q170"/>
      <c r="R170"/>
      <c r="S170"/>
      <c r="T170"/>
    </row>
    <row r="171" spans="3:20" ht="15.75" x14ac:dyDescent="0.25">
      <c r="C171" s="22" t="s">
        <v>6</v>
      </c>
      <c r="D171" s="29">
        <v>6</v>
      </c>
      <c r="E171" s="30">
        <v>1.1599999999999999</v>
      </c>
      <c r="F171" s="31">
        <f>L170</f>
        <v>234130</v>
      </c>
      <c r="G171" s="7">
        <f t="shared" si="32"/>
        <v>5853</v>
      </c>
      <c r="H171" s="52">
        <f t="shared" si="33"/>
        <v>5662</v>
      </c>
      <c r="I171"/>
      <c r="J171" s="22">
        <f>J172-1</f>
        <v>7</v>
      </c>
      <c r="K171" s="23">
        <f>K170+0.08</f>
        <v>1.24</v>
      </c>
      <c r="L171" s="7">
        <f>AMI_Table!$H$13*'AMI &amp; Rent'!$C162</f>
        <v>250380</v>
      </c>
      <c r="M171" s="32"/>
      <c r="N171"/>
      <c r="O171"/>
      <c r="P171"/>
      <c r="Q171"/>
      <c r="R171"/>
      <c r="S171"/>
      <c r="T171"/>
    </row>
    <row r="172" spans="3:20" ht="15.75" x14ac:dyDescent="0.25">
      <c r="C172" s="22" t="s">
        <v>7</v>
      </c>
      <c r="D172" s="29">
        <v>7.5</v>
      </c>
      <c r="E172" s="30">
        <f>1.28</f>
        <v>1.28</v>
      </c>
      <c r="F172" s="31">
        <f>AVERAGE(L171:L172)</f>
        <v>258440</v>
      </c>
      <c r="G172" s="7">
        <f t="shared" si="32"/>
        <v>6461</v>
      </c>
      <c r="H172" s="52">
        <f t="shared" si="33"/>
        <v>6238</v>
      </c>
      <c r="I172"/>
      <c r="J172" s="22">
        <v>8</v>
      </c>
      <c r="K172" s="23">
        <f>K171+0.08</f>
        <v>1.32</v>
      </c>
      <c r="L172" s="7">
        <f>AMI_Table!$I$13*'AMI &amp; Rent'!$C162</f>
        <v>266500</v>
      </c>
      <c r="M172" s="32"/>
      <c r="N172"/>
      <c r="O172"/>
      <c r="P172"/>
      <c r="Q172"/>
      <c r="R172"/>
      <c r="S172"/>
      <c r="T172"/>
    </row>
    <row r="173" spans="3:20" x14ac:dyDescent="0.2">
      <c r="H173"/>
      <c r="I173"/>
      <c r="J173" s="2"/>
      <c r="N173"/>
      <c r="O173"/>
      <c r="P173"/>
      <c r="Q173"/>
      <c r="R173"/>
      <c r="S173"/>
      <c r="T173"/>
    </row>
    <row r="174" spans="3:20" x14ac:dyDescent="0.2">
      <c r="G174" s="61"/>
      <c r="H174" s="62"/>
      <c r="I174" s="62"/>
      <c r="J174" s="63"/>
      <c r="K174" s="63"/>
      <c r="L174" s="63"/>
      <c r="M174" s="63"/>
      <c r="N174"/>
      <c r="O174"/>
      <c r="P174"/>
      <c r="Q174"/>
      <c r="R174"/>
      <c r="S174"/>
      <c r="T174"/>
    </row>
    <row r="175" spans="3:20" ht="15.75" x14ac:dyDescent="0.25">
      <c r="C175" s="57">
        <v>1.75</v>
      </c>
      <c r="D175" s="8" t="s">
        <v>9</v>
      </c>
      <c r="E175" s="7">
        <f>AMI_Table!$E$13*'AMI &amp; Rent'!$C175</f>
        <v>271775</v>
      </c>
      <c r="F175" s="9" t="s">
        <v>0</v>
      </c>
      <c r="G175" s="2"/>
      <c r="H175"/>
      <c r="I175"/>
      <c r="J175" s="2"/>
      <c r="N175"/>
      <c r="O175"/>
      <c r="P175"/>
      <c r="Q175"/>
      <c r="R175"/>
      <c r="S175"/>
      <c r="T175"/>
    </row>
    <row r="176" spans="3:20" x14ac:dyDescent="0.2">
      <c r="G176"/>
      <c r="H176"/>
      <c r="I176"/>
      <c r="J176" s="10"/>
      <c r="K176" s="11"/>
      <c r="L176" s="12" t="s">
        <v>10</v>
      </c>
      <c r="N176"/>
      <c r="O176"/>
      <c r="P176"/>
      <c r="Q176"/>
      <c r="R176"/>
      <c r="S176"/>
      <c r="T176"/>
    </row>
    <row r="177" spans="3:20" ht="15.75" customHeight="1" x14ac:dyDescent="0.25">
      <c r="C177" s="13"/>
      <c r="D177" s="14"/>
      <c r="E177" s="14"/>
      <c r="F177" s="14"/>
      <c r="G177" s="98" t="s">
        <v>33</v>
      </c>
      <c r="H177" s="98" t="s">
        <v>34</v>
      </c>
      <c r="I177"/>
      <c r="J177" s="15" t="s">
        <v>11</v>
      </c>
      <c r="K177" s="16" t="s">
        <v>12</v>
      </c>
      <c r="L177" s="17" t="s">
        <v>13</v>
      </c>
      <c r="M177" s="3"/>
      <c r="N177"/>
      <c r="O177"/>
      <c r="P177"/>
      <c r="Q177"/>
      <c r="R177"/>
      <c r="S177"/>
      <c r="T177"/>
    </row>
    <row r="178" spans="3:20" ht="15.75" x14ac:dyDescent="0.25">
      <c r="C178" s="18"/>
      <c r="D178" s="19"/>
      <c r="E178" s="19"/>
      <c r="F178" s="20" t="s">
        <v>10</v>
      </c>
      <c r="G178" s="99"/>
      <c r="H178" s="99"/>
      <c r="I178"/>
      <c r="J178" s="22">
        <f t="shared" ref="J178:J183" si="34">J179-1</f>
        <v>1</v>
      </c>
      <c r="K178" s="23">
        <v>0.7</v>
      </c>
      <c r="L178" s="7">
        <f>AMI_Table!$B$13*'AMI &amp; Rent'!$C175</f>
        <v>190225</v>
      </c>
      <c r="M178" s="21"/>
      <c r="N178"/>
      <c r="O178"/>
      <c r="P178"/>
      <c r="Q178"/>
      <c r="R178"/>
      <c r="S178"/>
      <c r="T178"/>
    </row>
    <row r="179" spans="3:20" ht="35.1" customHeight="1" x14ac:dyDescent="0.25">
      <c r="C179" s="24"/>
      <c r="D179" s="25" t="s">
        <v>14</v>
      </c>
      <c r="E179" s="26" t="s">
        <v>15</v>
      </c>
      <c r="F179" s="27" t="s">
        <v>13</v>
      </c>
      <c r="G179" s="100"/>
      <c r="H179" s="100"/>
      <c r="I179"/>
      <c r="J179" s="22">
        <f t="shared" si="34"/>
        <v>2</v>
      </c>
      <c r="K179" s="23">
        <f>K178+0.1</f>
        <v>0.79999999999999993</v>
      </c>
      <c r="L179" s="7">
        <f>AMI_Table!$C$13*'AMI &amp; Rent'!$C175</f>
        <v>217525</v>
      </c>
      <c r="M179" s="28"/>
      <c r="N179"/>
      <c r="O179"/>
      <c r="P179"/>
      <c r="Q179"/>
      <c r="R179"/>
      <c r="S179"/>
      <c r="T179"/>
    </row>
    <row r="180" spans="3:20" ht="15.75" x14ac:dyDescent="0.25">
      <c r="C180" s="22" t="s">
        <v>1</v>
      </c>
      <c r="D180" s="29">
        <v>1</v>
      </c>
      <c r="E180" s="30">
        <v>0.7</v>
      </c>
      <c r="F180" s="31">
        <f>AMI_Table!$B$13*'AMI &amp; Rent'!$C175</f>
        <v>190225</v>
      </c>
      <c r="G180" s="7">
        <f t="shared" ref="G180:G185" si="35">ROUNDDOWN(F180*$A$7/12,0)</f>
        <v>4755</v>
      </c>
      <c r="H180" s="52">
        <f t="shared" ref="H180:H185" si="36">G180-N17</f>
        <v>4670</v>
      </c>
      <c r="I180"/>
      <c r="J180" s="22">
        <f t="shared" si="34"/>
        <v>3</v>
      </c>
      <c r="K180" s="23">
        <f>K179+0.1</f>
        <v>0.89999999999999991</v>
      </c>
      <c r="L180" s="7">
        <f>AMI_Table!$D$13*'AMI &amp; Rent'!$C175</f>
        <v>244650</v>
      </c>
      <c r="M180" s="32"/>
      <c r="N180"/>
      <c r="O180"/>
      <c r="P180"/>
      <c r="Q180"/>
      <c r="R180"/>
      <c r="S180"/>
      <c r="T180"/>
    </row>
    <row r="181" spans="3:20" ht="15.75" x14ac:dyDescent="0.25">
      <c r="C181" s="22" t="s">
        <v>2</v>
      </c>
      <c r="D181" s="29">
        <v>1.5</v>
      </c>
      <c r="E181" s="30">
        <v>0.75</v>
      </c>
      <c r="F181" s="31">
        <f>AVERAGE(L178:L179)</f>
        <v>203875</v>
      </c>
      <c r="G181" s="7">
        <f t="shared" si="35"/>
        <v>5096</v>
      </c>
      <c r="H181" s="52">
        <f t="shared" si="36"/>
        <v>4999</v>
      </c>
      <c r="I181"/>
      <c r="J181" s="22">
        <f t="shared" si="34"/>
        <v>4</v>
      </c>
      <c r="K181" s="23">
        <f>K180+0.1</f>
        <v>0.99999999999999989</v>
      </c>
      <c r="L181" s="7">
        <f>AMI_Table!$E$13*'AMI &amp; Rent'!$C175</f>
        <v>271775</v>
      </c>
      <c r="M181" s="32"/>
      <c r="N181"/>
      <c r="O181"/>
      <c r="P181"/>
      <c r="Q181"/>
      <c r="R181"/>
      <c r="S181"/>
      <c r="T181"/>
    </row>
    <row r="182" spans="3:20" ht="15.75" x14ac:dyDescent="0.25">
      <c r="C182" s="22" t="s">
        <v>4</v>
      </c>
      <c r="D182" s="29">
        <v>3</v>
      </c>
      <c r="E182" s="30">
        <v>0.9</v>
      </c>
      <c r="F182" s="31">
        <f>L180</f>
        <v>244650</v>
      </c>
      <c r="G182" s="7">
        <f t="shared" si="35"/>
        <v>6116</v>
      </c>
      <c r="H182" s="52">
        <f t="shared" si="36"/>
        <v>5988</v>
      </c>
      <c r="I182"/>
      <c r="J182" s="22">
        <f t="shared" si="34"/>
        <v>5</v>
      </c>
      <c r="K182" s="23">
        <f>K181+0.08</f>
        <v>1.0799999999999998</v>
      </c>
      <c r="L182" s="7">
        <f>AMI_Table!$F$13*'AMI &amp; Rent'!$C175</f>
        <v>293475</v>
      </c>
      <c r="M182" s="32"/>
      <c r="N182"/>
      <c r="O182"/>
      <c r="P182"/>
      <c r="Q182"/>
      <c r="R182"/>
      <c r="S182"/>
      <c r="T182"/>
    </row>
    <row r="183" spans="3:20" ht="15.75" x14ac:dyDescent="0.25">
      <c r="C183" s="22" t="s">
        <v>5</v>
      </c>
      <c r="D183" s="29">
        <v>4.5</v>
      </c>
      <c r="E183" s="30">
        <v>1.04</v>
      </c>
      <c r="F183" s="31">
        <f>AVERAGE(L181:L182)</f>
        <v>282625</v>
      </c>
      <c r="G183" s="7">
        <f t="shared" si="35"/>
        <v>7065</v>
      </c>
      <c r="H183" s="52">
        <f t="shared" si="36"/>
        <v>6906</v>
      </c>
      <c r="I183"/>
      <c r="J183" s="22">
        <f t="shared" si="34"/>
        <v>6</v>
      </c>
      <c r="K183" s="23">
        <f>K182+0.08</f>
        <v>1.1599999999999999</v>
      </c>
      <c r="L183" s="7">
        <f>AMI_Table!$G$13*'AMI &amp; Rent'!$C175</f>
        <v>315175</v>
      </c>
      <c r="M183" s="32"/>
      <c r="N183"/>
      <c r="O183"/>
      <c r="P183"/>
      <c r="Q183"/>
      <c r="R183"/>
      <c r="S183"/>
      <c r="T183"/>
    </row>
    <row r="184" spans="3:20" ht="15.75" x14ac:dyDescent="0.25">
      <c r="C184" s="22" t="s">
        <v>6</v>
      </c>
      <c r="D184" s="29">
        <v>6</v>
      </c>
      <c r="E184" s="30">
        <v>1.1599999999999999</v>
      </c>
      <c r="F184" s="31">
        <f>L183</f>
        <v>315175</v>
      </c>
      <c r="G184" s="7">
        <f t="shared" si="35"/>
        <v>7879</v>
      </c>
      <c r="H184" s="52">
        <f t="shared" si="36"/>
        <v>7688</v>
      </c>
      <c r="I184"/>
      <c r="J184" s="22">
        <f>J185-1</f>
        <v>7</v>
      </c>
      <c r="K184" s="23">
        <f>K183+0.08</f>
        <v>1.24</v>
      </c>
      <c r="L184" s="7">
        <f>AMI_Table!$H$13*'AMI &amp; Rent'!$C175</f>
        <v>337050</v>
      </c>
      <c r="M184" s="32"/>
      <c r="N184"/>
      <c r="O184"/>
      <c r="P184"/>
      <c r="Q184"/>
      <c r="R184"/>
      <c r="S184"/>
      <c r="T184"/>
    </row>
    <row r="185" spans="3:20" ht="15.75" x14ac:dyDescent="0.25">
      <c r="C185" s="22" t="s">
        <v>7</v>
      </c>
      <c r="D185" s="29">
        <v>7.5</v>
      </c>
      <c r="E185" s="30">
        <f>1.28</f>
        <v>1.28</v>
      </c>
      <c r="F185" s="31">
        <f>AVERAGE(L184:L185)</f>
        <v>347900</v>
      </c>
      <c r="G185" s="7">
        <f t="shared" si="35"/>
        <v>8697</v>
      </c>
      <c r="H185" s="52">
        <f t="shared" si="36"/>
        <v>8474</v>
      </c>
      <c r="I185"/>
      <c r="J185" s="22">
        <v>8</v>
      </c>
      <c r="K185" s="23">
        <f>K184+0.08</f>
        <v>1.32</v>
      </c>
      <c r="L185" s="7">
        <f>AMI_Table!$I$13*'AMI &amp; Rent'!$C175</f>
        <v>358750</v>
      </c>
      <c r="M185" s="32"/>
      <c r="N185"/>
      <c r="O185"/>
      <c r="P185"/>
      <c r="Q185"/>
      <c r="R185"/>
      <c r="S185"/>
      <c r="T185"/>
    </row>
    <row r="186" spans="3:20" x14ac:dyDescent="0.2">
      <c r="H186"/>
      <c r="I186"/>
      <c r="J186"/>
      <c r="K186"/>
      <c r="L186"/>
      <c r="N186"/>
      <c r="O186"/>
      <c r="P186"/>
      <c r="Q186"/>
      <c r="R186"/>
      <c r="S186"/>
      <c r="T186"/>
    </row>
  </sheetData>
  <sheetProtection algorithmName="SHA-512" hashValue="njizo6/Wu8bhS5PnahvOFjv2e1mDCMTi9R4iNiZ7fE2wMJXOcA5pmSOpUpxBO1fD0ud9ksgxenLgpWLLgX4ETw==" saltValue="CgSQ8tv7jKfplhu4K3JRuw==" spinCount="100000" sheet="1" objects="1" scenarios="1" selectLockedCells="1"/>
  <mergeCells count="38">
    <mergeCell ref="G112:G114"/>
    <mergeCell ref="H112:H114"/>
    <mergeCell ref="G125:G127"/>
    <mergeCell ref="H125:H127"/>
    <mergeCell ref="G151:G153"/>
    <mergeCell ref="H151:H153"/>
    <mergeCell ref="G164:G166"/>
    <mergeCell ref="G177:G179"/>
    <mergeCell ref="C14:D14"/>
    <mergeCell ref="H22:I22"/>
    <mergeCell ref="G34:G36"/>
    <mergeCell ref="H73:H75"/>
    <mergeCell ref="H99:H101"/>
    <mergeCell ref="H138:H140"/>
    <mergeCell ref="H164:H166"/>
    <mergeCell ref="H177:H179"/>
    <mergeCell ref="H34:H36"/>
    <mergeCell ref="H47:H49"/>
    <mergeCell ref="H60:H62"/>
    <mergeCell ref="E14:I14"/>
    <mergeCell ref="G99:G101"/>
    <mergeCell ref="G138:G140"/>
    <mergeCell ref="G86:G88"/>
    <mergeCell ref="H86:H88"/>
    <mergeCell ref="A1:N1"/>
    <mergeCell ref="B14:B15"/>
    <mergeCell ref="N14:N16"/>
    <mergeCell ref="G73:G75"/>
    <mergeCell ref="H19:I19"/>
    <mergeCell ref="H20:I20"/>
    <mergeCell ref="H21:I21"/>
    <mergeCell ref="G47:G49"/>
    <mergeCell ref="G60:G62"/>
    <mergeCell ref="J14:M14"/>
    <mergeCell ref="H15:I15"/>
    <mergeCell ref="H16:I16"/>
    <mergeCell ref="H17:I17"/>
    <mergeCell ref="H18:I18"/>
  </mergeCells>
  <phoneticPr fontId="19" type="noConversion"/>
  <conditionalFormatting sqref="E37">
    <cfRule type="expression" dxfId="10" priority="9">
      <formula>E37&lt;0.7</formula>
    </cfRule>
  </conditionalFormatting>
  <conditionalFormatting sqref="E50">
    <cfRule type="expression" dxfId="9" priority="10">
      <formula>E50&lt;0.7</formula>
    </cfRule>
  </conditionalFormatting>
  <conditionalFormatting sqref="E63">
    <cfRule type="expression" dxfId="8" priority="11">
      <formula>E63&lt;0.7</formula>
    </cfRule>
  </conditionalFormatting>
  <conditionalFormatting sqref="E76">
    <cfRule type="expression" dxfId="7" priority="16">
      <formula>E76&lt;0.7</formula>
    </cfRule>
  </conditionalFormatting>
  <conditionalFormatting sqref="E89">
    <cfRule type="expression" dxfId="6" priority="4">
      <formula>E89&lt;0.7</formula>
    </cfRule>
  </conditionalFormatting>
  <conditionalFormatting sqref="E115">
    <cfRule type="expression" dxfId="5" priority="3">
      <formula>E115&lt;0.7</formula>
    </cfRule>
  </conditionalFormatting>
  <conditionalFormatting sqref="E128">
    <cfRule type="expression" dxfId="4" priority="2">
      <formula>E128&lt;0.7</formula>
    </cfRule>
  </conditionalFormatting>
  <conditionalFormatting sqref="E141">
    <cfRule type="expression" dxfId="3" priority="8">
      <formula>E141&lt;0.7</formula>
    </cfRule>
  </conditionalFormatting>
  <conditionalFormatting sqref="E154">
    <cfRule type="expression" dxfId="2" priority="1">
      <formula>E154&lt;0.7</formula>
    </cfRule>
  </conditionalFormatting>
  <conditionalFormatting sqref="E167">
    <cfRule type="expression" dxfId="1" priority="7">
      <formula>E167&lt;0.7</formula>
    </cfRule>
  </conditionalFormatting>
  <conditionalFormatting sqref="E180">
    <cfRule type="expression" dxfId="0" priority="6">
      <formula>E180&lt;0.7</formula>
    </cfRule>
  </conditionalFormatting>
  <dataValidations count="2">
    <dataValidation type="list" allowBlank="1" showInputMessage="1" showErrorMessage="1" sqref="H16" xr:uid="{00000000-0002-0000-0000-000000000000}">
      <formula1>"N/A - owner pays, Tenant Pays"</formula1>
    </dataValidation>
    <dataValidation type="list" allowBlank="1" showInputMessage="1" showErrorMessage="1" sqref="B16:G16 J16:M16" xr:uid="{00000000-0002-0000-0000-000001000000}">
      <formula1>"N/A or owner pays, Tenant Pays"</formula1>
    </dataValidation>
  </dataValidations>
  <pageMargins left="0.5" right="0.5" top="0.5" bottom="0.5" header="0.5" footer="0.5"/>
  <pageSetup paperSize="5" scale="44" orientation="portrait" r:id="rId1"/>
  <headerFooter alignWithMargins="0"/>
  <colBreaks count="1" manualBreakCount="1">
    <brk id="16" min="2" max="129" man="1"/>
  </colBreaks>
  <extLst>
    <ext xmlns:mx="http://schemas.microsoft.com/office/mac/excel/2008/main" uri="{64002731-A6B0-56B0-2670-7721B7C09600}">
      <mx:PLV Mode="0" OnePage="0" WScale="44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DD8B7-CF54-43DB-8C77-639E79C8E9D8}">
  <dimension ref="A1:AA42"/>
  <sheetViews>
    <sheetView showGridLines="0" view="pageBreakPreview" zoomScale="120" zoomScaleSheetLayoutView="120" workbookViewId="0">
      <selection activeCell="I8" sqref="I8"/>
    </sheetView>
  </sheetViews>
  <sheetFormatPr defaultColWidth="8.6640625" defaultRowHeight="15" x14ac:dyDescent="0.2"/>
  <cols>
    <col min="1" max="1" width="6.33203125" bestFit="1" customWidth="1"/>
    <col min="2" max="2" width="10.6640625" bestFit="1" customWidth="1"/>
    <col min="3" max="9" width="11" bestFit="1" customWidth="1"/>
    <col min="10" max="10" width="64.88671875" customWidth="1"/>
    <col min="11" max="11" width="12.6640625" bestFit="1" customWidth="1"/>
  </cols>
  <sheetData>
    <row r="1" spans="1:27" ht="15.75" x14ac:dyDescent="0.25">
      <c r="A1" s="117" t="str">
        <f>'[1]AMI &amp; Rent'!A1</f>
        <v>2024 Area Median Income</v>
      </c>
      <c r="B1" s="117"/>
      <c r="C1" s="117"/>
      <c r="D1" s="117"/>
      <c r="E1" s="117"/>
      <c r="F1" s="117"/>
      <c r="G1" s="117"/>
      <c r="H1" s="117"/>
      <c r="I1" s="117"/>
    </row>
    <row r="2" spans="1:27" x14ac:dyDescent="0.2">
      <c r="B2" s="37">
        <f>VLOOKUP(B3,'[1]AMI &amp; Rent'!$K$32:$L$39,2,FALSE)</f>
        <v>0.7</v>
      </c>
      <c r="C2" s="37">
        <f>VLOOKUP(C3,'[1]AMI &amp; Rent'!$K$32:$L$39,2,FALSE)</f>
        <v>0.79999999999999993</v>
      </c>
      <c r="D2" s="37">
        <f>VLOOKUP(D3,'[1]AMI &amp; Rent'!$K$32:$L$39,2,FALSE)</f>
        <v>0.89999999999999991</v>
      </c>
      <c r="E2" s="37">
        <f>VLOOKUP(E3,'[1]AMI &amp; Rent'!$K$32:$L$39,2,FALSE)</f>
        <v>0.99999999999999989</v>
      </c>
      <c r="F2" s="37">
        <f>VLOOKUP(F3,'[1]AMI &amp; Rent'!$K$32:$L$39,2,FALSE)</f>
        <v>1.0799999999999998</v>
      </c>
      <c r="G2" s="37">
        <f>VLOOKUP(G3,'[1]AMI &amp; Rent'!$K$32:$L$39,2,FALSE)</f>
        <v>1.1599999999999999</v>
      </c>
      <c r="H2" s="37">
        <f>VLOOKUP(H3,'[1]AMI &amp; Rent'!$K$32:$L$39,2,FALSE)</f>
        <v>1.24</v>
      </c>
      <c r="I2" s="37">
        <f>VLOOKUP(I3,'[1]AMI &amp; Rent'!$K$32:$L$39,2,FALSE)</f>
        <v>1.32</v>
      </c>
    </row>
    <row r="3" spans="1:27" ht="16.5" thickBot="1" x14ac:dyDescent="0.3">
      <c r="A3" s="38"/>
      <c r="B3" s="39">
        <v>1</v>
      </c>
      <c r="C3" s="39">
        <f t="shared" ref="C3:I3" si="0">B3+1</f>
        <v>2</v>
      </c>
      <c r="D3" s="39">
        <f t="shared" si="0"/>
        <v>3</v>
      </c>
      <c r="E3" s="39">
        <f t="shared" si="0"/>
        <v>4</v>
      </c>
      <c r="F3" s="39">
        <f t="shared" si="0"/>
        <v>5</v>
      </c>
      <c r="G3" s="39">
        <f t="shared" si="0"/>
        <v>6</v>
      </c>
      <c r="H3" s="39">
        <f t="shared" si="0"/>
        <v>7</v>
      </c>
      <c r="I3" s="39">
        <f t="shared" si="0"/>
        <v>8</v>
      </c>
    </row>
    <row r="4" spans="1:27" ht="15.75" x14ac:dyDescent="0.25">
      <c r="A4" s="40">
        <v>0.1</v>
      </c>
      <c r="B4" s="41">
        <f>B8*0.2</f>
        <v>10870</v>
      </c>
      <c r="C4" s="41">
        <f t="shared" ref="C4:I4" si="1">C8*0.2</f>
        <v>12430</v>
      </c>
      <c r="D4" s="41">
        <f t="shared" si="1"/>
        <v>13980</v>
      </c>
      <c r="E4" s="41">
        <f t="shared" si="1"/>
        <v>15530</v>
      </c>
      <c r="F4" s="41">
        <f t="shared" si="1"/>
        <v>16770</v>
      </c>
      <c r="G4" s="41">
        <f t="shared" si="1"/>
        <v>18010</v>
      </c>
      <c r="H4" s="41">
        <f t="shared" si="1"/>
        <v>19260</v>
      </c>
      <c r="I4" s="41">
        <f t="shared" si="1"/>
        <v>20500</v>
      </c>
      <c r="K4" s="94"/>
      <c r="L4" s="94"/>
      <c r="M4" s="94"/>
      <c r="N4" s="94"/>
      <c r="O4" s="94"/>
      <c r="P4" s="94"/>
      <c r="Q4" s="94"/>
      <c r="R4" s="94"/>
      <c r="T4" s="50"/>
      <c r="U4" s="50"/>
      <c r="V4" s="50"/>
      <c r="W4" s="50"/>
      <c r="X4" s="50"/>
      <c r="Y4" s="50"/>
      <c r="Z4" s="50"/>
      <c r="AA4" s="50"/>
    </row>
    <row r="5" spans="1:27" ht="15.75" x14ac:dyDescent="0.25">
      <c r="A5" s="42">
        <f>+A4+10%</f>
        <v>0.2</v>
      </c>
      <c r="B5" s="43">
        <f>B8*0.4</f>
        <v>21740</v>
      </c>
      <c r="C5" s="43">
        <f t="shared" ref="C5:I5" si="2">C8*0.4</f>
        <v>24860</v>
      </c>
      <c r="D5" s="43">
        <f t="shared" si="2"/>
        <v>27960</v>
      </c>
      <c r="E5" s="43">
        <f t="shared" si="2"/>
        <v>31060</v>
      </c>
      <c r="F5" s="43">
        <f t="shared" si="2"/>
        <v>33540</v>
      </c>
      <c r="G5" s="43">
        <f t="shared" si="2"/>
        <v>36020</v>
      </c>
      <c r="H5" s="43">
        <f t="shared" si="2"/>
        <v>38520</v>
      </c>
      <c r="I5" s="43">
        <f t="shared" si="2"/>
        <v>41000</v>
      </c>
      <c r="K5" s="94"/>
      <c r="L5" s="94"/>
      <c r="M5" s="94"/>
      <c r="N5" s="94"/>
      <c r="O5" s="94"/>
      <c r="P5" s="94"/>
      <c r="Q5" s="94"/>
      <c r="R5" s="94"/>
      <c r="T5" s="50"/>
      <c r="U5" s="50"/>
      <c r="V5" s="50"/>
      <c r="W5" s="50"/>
      <c r="X5" s="50"/>
      <c r="Y5" s="50"/>
      <c r="Z5" s="50"/>
      <c r="AA5" s="50"/>
    </row>
    <row r="6" spans="1:27" x14ac:dyDescent="0.2">
      <c r="A6" s="40">
        <f t="shared" ref="A6:A28" si="3">+A5+10%</f>
        <v>0.30000000000000004</v>
      </c>
      <c r="B6" s="41">
        <f>B8*0.6</f>
        <v>32610</v>
      </c>
      <c r="C6" s="41">
        <f t="shared" ref="C6:I6" si="4">C8*0.6</f>
        <v>37290</v>
      </c>
      <c r="D6" s="41">
        <f t="shared" si="4"/>
        <v>41940</v>
      </c>
      <c r="E6" s="41">
        <f t="shared" si="4"/>
        <v>46590</v>
      </c>
      <c r="F6" s="41">
        <f t="shared" si="4"/>
        <v>50310</v>
      </c>
      <c r="G6" s="41">
        <f t="shared" si="4"/>
        <v>54030</v>
      </c>
      <c r="H6" s="41">
        <f t="shared" si="4"/>
        <v>57780</v>
      </c>
      <c r="I6" s="41">
        <f t="shared" si="4"/>
        <v>61500</v>
      </c>
      <c r="L6" s="44"/>
      <c r="T6" s="50"/>
      <c r="U6" s="50"/>
      <c r="V6" s="50"/>
      <c r="W6" s="50"/>
      <c r="X6" s="50"/>
      <c r="Y6" s="50"/>
      <c r="Z6" s="50"/>
      <c r="AA6" s="50"/>
    </row>
    <row r="7" spans="1:27" ht="15.75" x14ac:dyDescent="0.25">
      <c r="A7" s="42">
        <f t="shared" si="3"/>
        <v>0.4</v>
      </c>
      <c r="B7" s="43">
        <f>B8*0.8</f>
        <v>43480</v>
      </c>
      <c r="C7" s="43">
        <f t="shared" ref="C7:I7" si="5">C8*0.8</f>
        <v>49720</v>
      </c>
      <c r="D7" s="43">
        <f t="shared" si="5"/>
        <v>55920</v>
      </c>
      <c r="E7" s="43">
        <f t="shared" si="5"/>
        <v>62120</v>
      </c>
      <c r="F7" s="43">
        <f t="shared" si="5"/>
        <v>67080</v>
      </c>
      <c r="G7" s="43">
        <f t="shared" si="5"/>
        <v>72040</v>
      </c>
      <c r="H7" s="43">
        <f t="shared" si="5"/>
        <v>77040</v>
      </c>
      <c r="I7" s="43">
        <f t="shared" si="5"/>
        <v>82000</v>
      </c>
      <c r="K7" s="95"/>
      <c r="L7" s="95"/>
      <c r="M7" s="95"/>
      <c r="N7" s="95"/>
      <c r="O7" s="95"/>
      <c r="P7" s="95"/>
      <c r="Q7" s="95"/>
      <c r="R7" s="95"/>
      <c r="T7" s="50"/>
      <c r="U7" s="50"/>
      <c r="V7" s="50"/>
      <c r="W7" s="50"/>
      <c r="X7" s="50"/>
      <c r="Y7" s="50"/>
      <c r="Z7" s="50"/>
      <c r="AA7" s="50"/>
    </row>
    <row r="8" spans="1:27" ht="45.75" x14ac:dyDescent="0.25">
      <c r="A8" s="40">
        <f t="shared" si="3"/>
        <v>0.5</v>
      </c>
      <c r="B8" s="41">
        <v>54350</v>
      </c>
      <c r="C8" s="41">
        <v>62150</v>
      </c>
      <c r="D8" s="41">
        <v>69900</v>
      </c>
      <c r="E8" s="41">
        <v>77650</v>
      </c>
      <c r="F8" s="41">
        <v>83850</v>
      </c>
      <c r="G8" s="41">
        <v>90050</v>
      </c>
      <c r="H8" s="41">
        <v>96300</v>
      </c>
      <c r="I8" s="41">
        <v>102500</v>
      </c>
      <c r="J8" s="96" t="s">
        <v>47</v>
      </c>
      <c r="K8" s="95"/>
      <c r="L8" s="95"/>
      <c r="M8" s="95"/>
      <c r="N8" s="95"/>
      <c r="O8" s="95"/>
      <c r="P8" s="95"/>
      <c r="Q8" s="95"/>
      <c r="R8" s="95"/>
      <c r="T8" s="50"/>
      <c r="U8" s="50"/>
      <c r="V8" s="50"/>
      <c r="W8" s="50"/>
      <c r="X8" s="50"/>
      <c r="Y8" s="50"/>
      <c r="Z8" s="50"/>
      <c r="AA8" s="50"/>
    </row>
    <row r="9" spans="1:27" ht="15.75" x14ac:dyDescent="0.25">
      <c r="A9" s="42">
        <f t="shared" si="3"/>
        <v>0.6</v>
      </c>
      <c r="B9" s="43">
        <f>B8*1.2</f>
        <v>65220</v>
      </c>
      <c r="C9" s="43">
        <f t="shared" ref="C9:I9" si="6">C8*1.2</f>
        <v>74580</v>
      </c>
      <c r="D9" s="43">
        <f t="shared" si="6"/>
        <v>83880</v>
      </c>
      <c r="E9" s="43">
        <f t="shared" si="6"/>
        <v>93180</v>
      </c>
      <c r="F9" s="43">
        <f t="shared" si="6"/>
        <v>100620</v>
      </c>
      <c r="G9" s="43">
        <f t="shared" si="6"/>
        <v>108060</v>
      </c>
      <c r="H9" s="43">
        <f t="shared" si="6"/>
        <v>115560</v>
      </c>
      <c r="I9" s="43">
        <f t="shared" si="6"/>
        <v>123000</v>
      </c>
      <c r="K9" s="95"/>
      <c r="L9" s="95"/>
      <c r="M9" s="95"/>
      <c r="N9" s="95"/>
      <c r="O9" s="95"/>
      <c r="P9" s="95"/>
      <c r="Q9" s="95"/>
      <c r="R9" s="95"/>
      <c r="T9" s="50"/>
      <c r="U9" s="50"/>
      <c r="V9" s="50"/>
      <c r="W9" s="50"/>
      <c r="X9" s="50"/>
      <c r="Y9" s="50"/>
      <c r="Z9" s="50"/>
      <c r="AA9" s="50"/>
    </row>
    <row r="10" spans="1:27" ht="15.75" x14ac:dyDescent="0.25">
      <c r="A10" s="40">
        <f t="shared" si="3"/>
        <v>0.7</v>
      </c>
      <c r="B10" s="41">
        <f>B8*1.4</f>
        <v>76090</v>
      </c>
      <c r="C10" s="41">
        <f t="shared" ref="C10:I10" si="7">C8*1.4</f>
        <v>87010</v>
      </c>
      <c r="D10" s="41">
        <f t="shared" si="7"/>
        <v>97860</v>
      </c>
      <c r="E10" s="41">
        <f t="shared" si="7"/>
        <v>108710</v>
      </c>
      <c r="F10" s="41">
        <f t="shared" si="7"/>
        <v>117389.99999999999</v>
      </c>
      <c r="G10" s="41">
        <f t="shared" si="7"/>
        <v>126069.99999999999</v>
      </c>
      <c r="H10" s="41">
        <f t="shared" si="7"/>
        <v>134820</v>
      </c>
      <c r="I10" s="41">
        <f t="shared" si="7"/>
        <v>143500</v>
      </c>
      <c r="K10" s="95"/>
      <c r="L10" s="95"/>
      <c r="M10" s="95"/>
      <c r="N10" s="95"/>
      <c r="O10" s="95"/>
      <c r="P10" s="95"/>
      <c r="Q10" s="95"/>
      <c r="R10" s="95"/>
      <c r="T10" s="50"/>
      <c r="U10" s="50"/>
      <c r="V10" s="50"/>
      <c r="W10" s="50"/>
      <c r="X10" s="50"/>
      <c r="Y10" s="50"/>
      <c r="Z10" s="50"/>
      <c r="AA10" s="50"/>
    </row>
    <row r="11" spans="1:27" ht="15.75" x14ac:dyDescent="0.25">
      <c r="A11" s="42">
        <f t="shared" si="3"/>
        <v>0.79999999999999993</v>
      </c>
      <c r="B11" s="43">
        <f>B8*1.6</f>
        <v>86960</v>
      </c>
      <c r="C11" s="43">
        <f t="shared" ref="C11:I11" si="8">C8*1.6</f>
        <v>99440</v>
      </c>
      <c r="D11" s="43">
        <f t="shared" si="8"/>
        <v>111840</v>
      </c>
      <c r="E11" s="43">
        <f t="shared" si="8"/>
        <v>124240</v>
      </c>
      <c r="F11" s="43">
        <f t="shared" si="8"/>
        <v>134160</v>
      </c>
      <c r="G11" s="43">
        <f t="shared" si="8"/>
        <v>144080</v>
      </c>
      <c r="H11" s="43">
        <f t="shared" si="8"/>
        <v>154080</v>
      </c>
      <c r="I11" s="43">
        <f t="shared" si="8"/>
        <v>164000</v>
      </c>
      <c r="K11" s="95"/>
      <c r="L11" s="95"/>
      <c r="M11" s="95"/>
      <c r="N11" s="95"/>
      <c r="O11" s="95"/>
      <c r="P11" s="95"/>
      <c r="Q11" s="95"/>
      <c r="R11" s="95"/>
      <c r="T11" s="50"/>
      <c r="U11" s="50"/>
      <c r="V11" s="50"/>
      <c r="W11" s="50"/>
      <c r="X11" s="50"/>
      <c r="Y11" s="50"/>
      <c r="Z11" s="50"/>
      <c r="AA11" s="50"/>
    </row>
    <row r="12" spans="1:27" ht="15.75" x14ac:dyDescent="0.25">
      <c r="A12" s="40">
        <f t="shared" si="3"/>
        <v>0.89999999999999991</v>
      </c>
      <c r="B12" s="41">
        <f>B8*1.8</f>
        <v>97830</v>
      </c>
      <c r="C12" s="41">
        <f t="shared" ref="C12:I12" si="9">C8*1.8</f>
        <v>111870</v>
      </c>
      <c r="D12" s="41">
        <f t="shared" si="9"/>
        <v>125820</v>
      </c>
      <c r="E12" s="41">
        <f t="shared" si="9"/>
        <v>139770</v>
      </c>
      <c r="F12" s="41">
        <f t="shared" si="9"/>
        <v>150930</v>
      </c>
      <c r="G12" s="41">
        <f t="shared" si="9"/>
        <v>162090</v>
      </c>
      <c r="H12" s="41">
        <f t="shared" si="9"/>
        <v>173340</v>
      </c>
      <c r="I12" s="41">
        <f t="shared" si="9"/>
        <v>184500</v>
      </c>
      <c r="K12" s="95"/>
      <c r="L12" s="95"/>
      <c r="M12" s="95"/>
      <c r="N12" s="95"/>
      <c r="O12" s="95"/>
      <c r="P12" s="95"/>
      <c r="Q12" s="95"/>
      <c r="R12" s="95"/>
      <c r="T12" s="50"/>
      <c r="U12" s="50"/>
      <c r="V12" s="50"/>
      <c r="W12" s="50"/>
      <c r="X12" s="50"/>
      <c r="Y12" s="50"/>
      <c r="Z12" s="50"/>
      <c r="AA12" s="50"/>
    </row>
    <row r="13" spans="1:27" ht="15.75" x14ac:dyDescent="0.25">
      <c r="A13" s="42">
        <f t="shared" si="3"/>
        <v>0.99999999999999989</v>
      </c>
      <c r="B13" s="43">
        <f>B8*2</f>
        <v>108700</v>
      </c>
      <c r="C13" s="43">
        <f t="shared" ref="C13:I13" si="10">C8*2</f>
        <v>124300</v>
      </c>
      <c r="D13" s="43">
        <f t="shared" si="10"/>
        <v>139800</v>
      </c>
      <c r="E13" s="43">
        <f t="shared" si="10"/>
        <v>155300</v>
      </c>
      <c r="F13" s="43">
        <f t="shared" si="10"/>
        <v>167700</v>
      </c>
      <c r="G13" s="43">
        <f t="shared" si="10"/>
        <v>180100</v>
      </c>
      <c r="H13" s="43">
        <f t="shared" si="10"/>
        <v>192600</v>
      </c>
      <c r="I13" s="43">
        <f t="shared" si="10"/>
        <v>205000</v>
      </c>
      <c r="K13" s="95"/>
      <c r="L13" s="95"/>
      <c r="M13" s="95"/>
      <c r="N13" s="95"/>
      <c r="O13" s="95"/>
      <c r="P13" s="95"/>
      <c r="Q13" s="95"/>
      <c r="R13" s="95"/>
      <c r="T13" s="50"/>
      <c r="U13" s="50"/>
      <c r="V13" s="50"/>
      <c r="W13" s="50"/>
      <c r="X13" s="50"/>
      <c r="Y13" s="50"/>
      <c r="Z13" s="50"/>
      <c r="AA13" s="50"/>
    </row>
    <row r="14" spans="1:27" ht="15.75" x14ac:dyDescent="0.25">
      <c r="A14" s="40">
        <f t="shared" si="3"/>
        <v>1.0999999999999999</v>
      </c>
      <c r="B14" s="41">
        <f>B8*2.2</f>
        <v>119570.00000000001</v>
      </c>
      <c r="C14" s="41">
        <f t="shared" ref="C14:I14" si="11">C8*2.2</f>
        <v>136730</v>
      </c>
      <c r="D14" s="41">
        <f t="shared" si="11"/>
        <v>153780</v>
      </c>
      <c r="E14" s="41">
        <f t="shared" si="11"/>
        <v>170830</v>
      </c>
      <c r="F14" s="41">
        <f t="shared" si="11"/>
        <v>184470.00000000003</v>
      </c>
      <c r="G14" s="41">
        <f t="shared" si="11"/>
        <v>198110.00000000003</v>
      </c>
      <c r="H14" s="41">
        <f t="shared" si="11"/>
        <v>211860.00000000003</v>
      </c>
      <c r="I14" s="41">
        <f t="shared" si="11"/>
        <v>225500.00000000003</v>
      </c>
      <c r="K14" s="95"/>
      <c r="L14" s="95"/>
      <c r="M14" s="95"/>
      <c r="N14" s="95"/>
      <c r="O14" s="95"/>
      <c r="P14" s="95"/>
      <c r="Q14" s="95"/>
      <c r="R14" s="95"/>
      <c r="T14" s="50"/>
      <c r="U14" s="50"/>
      <c r="V14" s="50"/>
      <c r="W14" s="50"/>
      <c r="X14" s="50"/>
      <c r="Y14" s="50"/>
      <c r="Z14" s="50"/>
      <c r="AA14" s="50"/>
    </row>
    <row r="15" spans="1:27" ht="15.75" x14ac:dyDescent="0.25">
      <c r="A15" s="42">
        <f t="shared" si="3"/>
        <v>1.2</v>
      </c>
      <c r="B15" s="43">
        <f>B8*2.4</f>
        <v>130440</v>
      </c>
      <c r="C15" s="43">
        <f t="shared" ref="C15:I15" si="12">C8*2.4</f>
        <v>149160</v>
      </c>
      <c r="D15" s="43">
        <f t="shared" si="12"/>
        <v>167760</v>
      </c>
      <c r="E15" s="43">
        <f t="shared" si="12"/>
        <v>186360</v>
      </c>
      <c r="F15" s="43">
        <f t="shared" si="12"/>
        <v>201240</v>
      </c>
      <c r="G15" s="43">
        <f t="shared" si="12"/>
        <v>216120</v>
      </c>
      <c r="H15" s="43">
        <f t="shared" si="12"/>
        <v>231120</v>
      </c>
      <c r="I15" s="43">
        <f t="shared" si="12"/>
        <v>246000</v>
      </c>
      <c r="K15" s="95"/>
      <c r="L15" s="95"/>
      <c r="M15" s="95"/>
      <c r="N15" s="95"/>
      <c r="O15" s="95"/>
      <c r="P15" s="95"/>
      <c r="Q15" s="95"/>
      <c r="R15" s="95"/>
      <c r="T15" s="50"/>
      <c r="U15" s="50"/>
      <c r="V15" s="50"/>
      <c r="W15" s="50"/>
      <c r="X15" s="50"/>
      <c r="Y15" s="50"/>
      <c r="Z15" s="50"/>
      <c r="AA15" s="50"/>
    </row>
    <row r="16" spans="1:27" ht="15.75" x14ac:dyDescent="0.25">
      <c r="A16" s="40">
        <f t="shared" si="3"/>
        <v>1.3</v>
      </c>
      <c r="B16" s="41">
        <f>B8*2.6</f>
        <v>141310</v>
      </c>
      <c r="C16" s="41">
        <f t="shared" ref="C16:I16" si="13">C8*2.6</f>
        <v>161590</v>
      </c>
      <c r="D16" s="41">
        <f t="shared" si="13"/>
        <v>181740</v>
      </c>
      <c r="E16" s="41">
        <f t="shared" si="13"/>
        <v>201890</v>
      </c>
      <c r="F16" s="41">
        <f t="shared" si="13"/>
        <v>218010</v>
      </c>
      <c r="G16" s="41">
        <f t="shared" si="13"/>
        <v>234130</v>
      </c>
      <c r="H16" s="41">
        <f t="shared" si="13"/>
        <v>250380</v>
      </c>
      <c r="I16" s="41">
        <f t="shared" si="13"/>
        <v>266500</v>
      </c>
      <c r="K16" s="95"/>
      <c r="L16" s="95"/>
      <c r="M16" s="95"/>
      <c r="N16" s="95"/>
      <c r="O16" s="95"/>
      <c r="P16" s="95"/>
      <c r="Q16" s="95"/>
      <c r="R16" s="95"/>
      <c r="T16" s="50"/>
      <c r="U16" s="50"/>
      <c r="V16" s="50"/>
      <c r="W16" s="50"/>
      <c r="X16" s="50"/>
      <c r="Y16" s="50"/>
      <c r="Z16" s="50"/>
      <c r="AA16" s="50"/>
    </row>
    <row r="17" spans="1:27" ht="15.75" x14ac:dyDescent="0.25">
      <c r="A17" s="42">
        <f t="shared" si="3"/>
        <v>1.4000000000000001</v>
      </c>
      <c r="B17" s="43">
        <f>B8*2.8</f>
        <v>152180</v>
      </c>
      <c r="C17" s="43">
        <f t="shared" ref="C17:I17" si="14">C8*2.8</f>
        <v>174020</v>
      </c>
      <c r="D17" s="43">
        <f t="shared" si="14"/>
        <v>195720</v>
      </c>
      <c r="E17" s="43">
        <f t="shared" si="14"/>
        <v>217420</v>
      </c>
      <c r="F17" s="43">
        <f t="shared" si="14"/>
        <v>234779.99999999997</v>
      </c>
      <c r="G17" s="43">
        <f t="shared" si="14"/>
        <v>252139.99999999997</v>
      </c>
      <c r="H17" s="43">
        <f t="shared" si="14"/>
        <v>269640</v>
      </c>
      <c r="I17" s="43">
        <f t="shared" si="14"/>
        <v>287000</v>
      </c>
      <c r="K17" s="95"/>
      <c r="L17" s="95"/>
      <c r="M17" s="95"/>
      <c r="N17" s="95"/>
      <c r="O17" s="95"/>
      <c r="P17" s="95"/>
      <c r="Q17" s="95"/>
      <c r="R17" s="95"/>
      <c r="T17" s="50"/>
      <c r="U17" s="50"/>
      <c r="V17" s="50"/>
      <c r="W17" s="50"/>
      <c r="X17" s="50"/>
      <c r="Y17" s="50"/>
      <c r="Z17" s="50"/>
      <c r="AA17" s="50"/>
    </row>
    <row r="18" spans="1:27" ht="15.75" x14ac:dyDescent="0.25">
      <c r="A18" s="40">
        <f t="shared" si="3"/>
        <v>1.5000000000000002</v>
      </c>
      <c r="B18" s="41">
        <f>B8*3</f>
        <v>163050</v>
      </c>
      <c r="C18" s="41">
        <f t="shared" ref="C18:I18" si="15">C8*3</f>
        <v>186450</v>
      </c>
      <c r="D18" s="41">
        <f t="shared" si="15"/>
        <v>209700</v>
      </c>
      <c r="E18" s="41">
        <f t="shared" si="15"/>
        <v>232950</v>
      </c>
      <c r="F18" s="41">
        <f t="shared" si="15"/>
        <v>251550</v>
      </c>
      <c r="G18" s="41">
        <f t="shared" si="15"/>
        <v>270150</v>
      </c>
      <c r="H18" s="41">
        <f t="shared" si="15"/>
        <v>288900</v>
      </c>
      <c r="I18" s="41">
        <f t="shared" si="15"/>
        <v>307500</v>
      </c>
      <c r="K18" s="95"/>
      <c r="L18" s="95"/>
      <c r="M18" s="95"/>
      <c r="N18" s="95"/>
      <c r="O18" s="95"/>
      <c r="P18" s="95"/>
      <c r="Q18" s="95"/>
      <c r="R18" s="95"/>
      <c r="T18" s="50"/>
      <c r="U18" s="50"/>
      <c r="V18" s="50"/>
      <c r="W18" s="50"/>
      <c r="X18" s="50"/>
      <c r="Y18" s="50"/>
      <c r="Z18" s="50"/>
      <c r="AA18" s="50"/>
    </row>
    <row r="19" spans="1:27" ht="15.75" x14ac:dyDescent="0.25">
      <c r="A19" s="42">
        <f t="shared" si="3"/>
        <v>1.6000000000000003</v>
      </c>
      <c r="B19" s="43">
        <f>B8*3.2</f>
        <v>173920</v>
      </c>
      <c r="C19" s="43">
        <f t="shared" ref="C19:I19" si="16">C8*3.2</f>
        <v>198880</v>
      </c>
      <c r="D19" s="43">
        <f t="shared" si="16"/>
        <v>223680</v>
      </c>
      <c r="E19" s="43">
        <f t="shared" si="16"/>
        <v>248480</v>
      </c>
      <c r="F19" s="43">
        <f t="shared" si="16"/>
        <v>268320</v>
      </c>
      <c r="G19" s="43">
        <f t="shared" si="16"/>
        <v>288160</v>
      </c>
      <c r="H19" s="43">
        <f t="shared" si="16"/>
        <v>308160</v>
      </c>
      <c r="I19" s="43">
        <f t="shared" si="16"/>
        <v>328000</v>
      </c>
      <c r="K19" s="95"/>
      <c r="L19" s="95"/>
      <c r="M19" s="95"/>
      <c r="N19" s="95"/>
      <c r="O19" s="95"/>
      <c r="P19" s="95"/>
      <c r="Q19" s="95"/>
      <c r="R19" s="95"/>
      <c r="T19" s="50"/>
      <c r="U19" s="50"/>
      <c r="V19" s="50"/>
      <c r="W19" s="50"/>
      <c r="X19" s="50"/>
      <c r="Y19" s="50"/>
      <c r="Z19" s="50"/>
      <c r="AA19" s="50"/>
    </row>
    <row r="20" spans="1:27" ht="15.75" x14ac:dyDescent="0.25">
      <c r="A20" s="40">
        <f t="shared" si="3"/>
        <v>1.7000000000000004</v>
      </c>
      <c r="B20" s="41">
        <f>B8*3.4</f>
        <v>184790</v>
      </c>
      <c r="C20" s="41">
        <f t="shared" ref="C20:I20" si="17">C8*3.4</f>
        <v>211310</v>
      </c>
      <c r="D20" s="41">
        <f t="shared" si="17"/>
        <v>237660</v>
      </c>
      <c r="E20" s="41">
        <f t="shared" si="17"/>
        <v>264010</v>
      </c>
      <c r="F20" s="41">
        <f t="shared" si="17"/>
        <v>285090</v>
      </c>
      <c r="G20" s="41">
        <f t="shared" si="17"/>
        <v>306170</v>
      </c>
      <c r="H20" s="41">
        <f t="shared" si="17"/>
        <v>327420</v>
      </c>
      <c r="I20" s="41">
        <f t="shared" si="17"/>
        <v>348500</v>
      </c>
      <c r="K20" s="95"/>
      <c r="L20" s="95"/>
      <c r="M20" s="95"/>
      <c r="N20" s="95"/>
      <c r="O20" s="95"/>
      <c r="P20" s="95"/>
      <c r="Q20" s="95"/>
      <c r="R20" s="95"/>
      <c r="T20" s="50"/>
      <c r="U20" s="50"/>
      <c r="V20" s="50"/>
      <c r="W20" s="50"/>
      <c r="X20" s="50"/>
      <c r="Y20" s="50"/>
      <c r="Z20" s="50"/>
      <c r="AA20" s="50"/>
    </row>
    <row r="21" spans="1:27" ht="15.75" x14ac:dyDescent="0.25">
      <c r="A21" s="42">
        <f t="shared" si="3"/>
        <v>1.8000000000000005</v>
      </c>
      <c r="B21" s="43">
        <f>B8*3.6</f>
        <v>195660</v>
      </c>
      <c r="C21" s="43">
        <f t="shared" ref="C21:I21" si="18">C8*3.6</f>
        <v>223740</v>
      </c>
      <c r="D21" s="43">
        <f t="shared" si="18"/>
        <v>251640</v>
      </c>
      <c r="E21" s="43">
        <f t="shared" si="18"/>
        <v>279540</v>
      </c>
      <c r="F21" s="43">
        <f t="shared" si="18"/>
        <v>301860</v>
      </c>
      <c r="G21" s="43">
        <f t="shared" si="18"/>
        <v>324180</v>
      </c>
      <c r="H21" s="43">
        <f t="shared" si="18"/>
        <v>346680</v>
      </c>
      <c r="I21" s="43">
        <f t="shared" si="18"/>
        <v>369000</v>
      </c>
      <c r="K21" s="95"/>
      <c r="L21" s="95"/>
      <c r="M21" s="95"/>
      <c r="N21" s="95"/>
      <c r="O21" s="95"/>
      <c r="P21" s="95"/>
      <c r="Q21" s="95"/>
      <c r="R21" s="95"/>
      <c r="T21" s="50"/>
      <c r="U21" s="50"/>
      <c r="V21" s="50"/>
      <c r="W21" s="50"/>
      <c r="X21" s="50"/>
      <c r="Y21" s="50"/>
      <c r="Z21" s="50"/>
      <c r="AA21" s="50"/>
    </row>
    <row r="22" spans="1:27" ht="15.75" x14ac:dyDescent="0.25">
      <c r="A22" s="40">
        <f t="shared" si="3"/>
        <v>1.9000000000000006</v>
      </c>
      <c r="B22" s="41">
        <f>B8*3.8</f>
        <v>206530</v>
      </c>
      <c r="C22" s="41">
        <f t="shared" ref="C22:I22" si="19">C8*3.8</f>
        <v>236170</v>
      </c>
      <c r="D22" s="41">
        <f t="shared" si="19"/>
        <v>265620</v>
      </c>
      <c r="E22" s="41">
        <f t="shared" si="19"/>
        <v>295070</v>
      </c>
      <c r="F22" s="41">
        <f t="shared" si="19"/>
        <v>318630</v>
      </c>
      <c r="G22" s="41">
        <f t="shared" si="19"/>
        <v>342190</v>
      </c>
      <c r="H22" s="41">
        <f t="shared" si="19"/>
        <v>365940</v>
      </c>
      <c r="I22" s="41">
        <f t="shared" si="19"/>
        <v>389500</v>
      </c>
      <c r="K22" s="95"/>
      <c r="L22" s="95"/>
      <c r="M22" s="95"/>
      <c r="N22" s="95"/>
      <c r="O22" s="95"/>
      <c r="P22" s="95"/>
      <c r="Q22" s="95"/>
      <c r="R22" s="95"/>
      <c r="T22" s="50"/>
      <c r="U22" s="50"/>
      <c r="V22" s="50"/>
      <c r="W22" s="50"/>
      <c r="X22" s="50"/>
      <c r="Y22" s="50"/>
      <c r="Z22" s="50"/>
      <c r="AA22" s="50"/>
    </row>
    <row r="23" spans="1:27" ht="15.75" x14ac:dyDescent="0.25">
      <c r="A23" s="42">
        <f t="shared" si="3"/>
        <v>2.0000000000000004</v>
      </c>
      <c r="B23" s="49">
        <f>B8*4</f>
        <v>217400</v>
      </c>
      <c r="C23" s="49">
        <f t="shared" ref="C23:I23" si="20">C8*4</f>
        <v>248600</v>
      </c>
      <c r="D23" s="49">
        <f t="shared" si="20"/>
        <v>279600</v>
      </c>
      <c r="E23" s="49">
        <f t="shared" si="20"/>
        <v>310600</v>
      </c>
      <c r="F23" s="49">
        <f t="shared" si="20"/>
        <v>335400</v>
      </c>
      <c r="G23" s="49">
        <f t="shared" si="20"/>
        <v>360200</v>
      </c>
      <c r="H23" s="49">
        <f t="shared" si="20"/>
        <v>385200</v>
      </c>
      <c r="I23" s="49">
        <f t="shared" si="20"/>
        <v>410000</v>
      </c>
      <c r="K23" s="95"/>
      <c r="L23" s="95"/>
      <c r="M23" s="95"/>
      <c r="N23" s="95"/>
      <c r="O23" s="95"/>
      <c r="P23" s="95"/>
      <c r="Q23" s="95"/>
      <c r="R23" s="95"/>
      <c r="T23" s="50"/>
      <c r="U23" s="50"/>
      <c r="V23" s="50"/>
      <c r="W23" s="50"/>
      <c r="X23" s="50"/>
      <c r="Y23" s="50"/>
      <c r="Z23" s="50"/>
      <c r="AA23" s="50"/>
    </row>
    <row r="24" spans="1:27" ht="15.75" x14ac:dyDescent="0.25">
      <c r="A24" s="40">
        <f t="shared" si="3"/>
        <v>2.1000000000000005</v>
      </c>
      <c r="B24" s="41">
        <f>B8*4.2</f>
        <v>228270</v>
      </c>
      <c r="C24" s="41">
        <f t="shared" ref="C24:E24" si="21">C8*4.2</f>
        <v>261030</v>
      </c>
      <c r="D24" s="41">
        <f t="shared" si="21"/>
        <v>293580</v>
      </c>
      <c r="E24" s="41">
        <f t="shared" si="21"/>
        <v>326130</v>
      </c>
      <c r="F24" s="41">
        <f>F8*4.2</f>
        <v>352170</v>
      </c>
      <c r="G24" s="41">
        <f t="shared" ref="G24:I24" si="22">G8*4.2</f>
        <v>378210</v>
      </c>
      <c r="H24" s="41">
        <f t="shared" si="22"/>
        <v>404460</v>
      </c>
      <c r="I24" s="41">
        <f t="shared" si="22"/>
        <v>430500</v>
      </c>
      <c r="K24" s="95"/>
      <c r="L24" s="95"/>
      <c r="M24" s="95"/>
      <c r="N24" s="95"/>
      <c r="O24" s="95"/>
      <c r="P24" s="95"/>
      <c r="Q24" s="95"/>
      <c r="R24" s="95"/>
      <c r="T24" s="50"/>
      <c r="U24" s="50"/>
      <c r="V24" s="50"/>
      <c r="W24" s="50"/>
      <c r="X24" s="50"/>
      <c r="Y24" s="50"/>
      <c r="Z24" s="50"/>
      <c r="AA24" s="50"/>
    </row>
    <row r="25" spans="1:27" ht="15.75" x14ac:dyDescent="0.25">
      <c r="A25" s="42">
        <f t="shared" si="3"/>
        <v>2.2000000000000006</v>
      </c>
      <c r="B25" s="49">
        <f>B8*4.4</f>
        <v>239140.00000000003</v>
      </c>
      <c r="C25" s="49">
        <f t="shared" ref="C25:E25" si="23">C8*4.4</f>
        <v>273460</v>
      </c>
      <c r="D25" s="49">
        <f t="shared" si="23"/>
        <v>307560</v>
      </c>
      <c r="E25" s="49">
        <f t="shared" si="23"/>
        <v>341660</v>
      </c>
      <c r="F25" s="49">
        <f>F8*4.4</f>
        <v>368940.00000000006</v>
      </c>
      <c r="G25" s="49">
        <f t="shared" ref="G25:I25" si="24">G8*4.4</f>
        <v>396220.00000000006</v>
      </c>
      <c r="H25" s="49">
        <f t="shared" si="24"/>
        <v>423720.00000000006</v>
      </c>
      <c r="I25" s="49">
        <f t="shared" si="24"/>
        <v>451000.00000000006</v>
      </c>
      <c r="K25" s="95"/>
      <c r="L25" s="95"/>
      <c r="M25" s="95"/>
      <c r="N25" s="95"/>
      <c r="O25" s="95"/>
      <c r="P25" s="95"/>
      <c r="Q25" s="95"/>
      <c r="R25" s="95"/>
      <c r="T25" s="50"/>
      <c r="U25" s="50"/>
      <c r="V25" s="50"/>
      <c r="W25" s="50"/>
      <c r="X25" s="50"/>
      <c r="Y25" s="50"/>
      <c r="Z25" s="50"/>
      <c r="AA25" s="50"/>
    </row>
    <row r="26" spans="1:27" ht="15.75" x14ac:dyDescent="0.25">
      <c r="A26" s="40">
        <f t="shared" si="3"/>
        <v>2.3000000000000007</v>
      </c>
      <c r="B26" s="41">
        <f>B8*4.6</f>
        <v>250009.99999999997</v>
      </c>
      <c r="C26" s="41">
        <f t="shared" ref="C26:E26" si="25">C8*4.6</f>
        <v>285890</v>
      </c>
      <c r="D26" s="41">
        <f t="shared" si="25"/>
        <v>321540</v>
      </c>
      <c r="E26" s="41">
        <f t="shared" si="25"/>
        <v>357190</v>
      </c>
      <c r="F26" s="41">
        <f>F8*4.6</f>
        <v>385709.99999999994</v>
      </c>
      <c r="G26" s="41">
        <f t="shared" ref="G26:I26" si="26">G8*4.6</f>
        <v>414229.99999999994</v>
      </c>
      <c r="H26" s="41">
        <f t="shared" si="26"/>
        <v>442979.99999999994</v>
      </c>
      <c r="I26" s="41">
        <f t="shared" si="26"/>
        <v>471499.99999999994</v>
      </c>
      <c r="K26" s="95"/>
      <c r="L26" s="95"/>
      <c r="M26" s="95"/>
      <c r="N26" s="95"/>
      <c r="O26" s="95"/>
      <c r="P26" s="95"/>
      <c r="Q26" s="95"/>
      <c r="R26" s="95"/>
      <c r="T26" s="50"/>
      <c r="U26" s="50"/>
      <c r="V26" s="50"/>
      <c r="W26" s="50"/>
      <c r="X26" s="50"/>
      <c r="Y26" s="50"/>
      <c r="Z26" s="50"/>
      <c r="AA26" s="50"/>
    </row>
    <row r="27" spans="1:27" ht="15.75" x14ac:dyDescent="0.25">
      <c r="A27" s="42">
        <f t="shared" si="3"/>
        <v>2.4000000000000008</v>
      </c>
      <c r="B27" s="49">
        <f>B8*4.8</f>
        <v>260880</v>
      </c>
      <c r="C27" s="49">
        <f t="shared" ref="C27:E27" si="27">C8*4.8</f>
        <v>298320</v>
      </c>
      <c r="D27" s="49">
        <f t="shared" si="27"/>
        <v>335520</v>
      </c>
      <c r="E27" s="49">
        <f t="shared" si="27"/>
        <v>372720</v>
      </c>
      <c r="F27" s="49">
        <f>F8*4.8</f>
        <v>402480</v>
      </c>
      <c r="G27" s="49">
        <f t="shared" ref="G27:I27" si="28">G8*4.8</f>
        <v>432240</v>
      </c>
      <c r="H27" s="49">
        <f t="shared" si="28"/>
        <v>462240</v>
      </c>
      <c r="I27" s="49">
        <f t="shared" si="28"/>
        <v>492000</v>
      </c>
      <c r="K27" s="95"/>
      <c r="L27" s="95"/>
      <c r="M27" s="95"/>
      <c r="N27" s="95"/>
      <c r="O27" s="95"/>
      <c r="P27" s="95"/>
      <c r="Q27" s="95"/>
      <c r="R27" s="95"/>
      <c r="T27" s="50"/>
      <c r="U27" s="50"/>
      <c r="V27" s="50"/>
      <c r="W27" s="50"/>
      <c r="X27" s="50"/>
      <c r="Y27" s="50"/>
      <c r="Z27" s="50"/>
      <c r="AA27" s="50"/>
    </row>
    <row r="28" spans="1:27" ht="16.5" thickBot="1" x14ac:dyDescent="0.3">
      <c r="A28" s="45">
        <f t="shared" si="3"/>
        <v>2.5000000000000009</v>
      </c>
      <c r="B28" s="46">
        <f>B8*5</f>
        <v>271750</v>
      </c>
      <c r="C28" s="46">
        <f t="shared" ref="C28:E28" si="29">C8*5</f>
        <v>310750</v>
      </c>
      <c r="D28" s="46">
        <f t="shared" si="29"/>
        <v>349500</v>
      </c>
      <c r="E28" s="46">
        <f t="shared" si="29"/>
        <v>388250</v>
      </c>
      <c r="F28" s="46">
        <f>F8*5</f>
        <v>419250</v>
      </c>
      <c r="G28" s="46">
        <f t="shared" ref="G28:I28" si="30">G8*5</f>
        <v>450250</v>
      </c>
      <c r="H28" s="46">
        <f t="shared" si="30"/>
        <v>481500</v>
      </c>
      <c r="I28" s="46">
        <f t="shared" si="30"/>
        <v>512500</v>
      </c>
      <c r="K28" s="95"/>
      <c r="L28" s="95"/>
      <c r="M28" s="95"/>
      <c r="N28" s="95"/>
      <c r="O28" s="95"/>
      <c r="P28" s="95"/>
      <c r="Q28" s="95"/>
      <c r="R28" s="95"/>
      <c r="T28" s="50"/>
      <c r="U28" s="50"/>
      <c r="V28" s="50"/>
      <c r="W28" s="50"/>
      <c r="X28" s="50"/>
      <c r="Y28" s="50"/>
      <c r="Z28" s="50"/>
      <c r="AA28" s="50"/>
    </row>
    <row r="29" spans="1:27" x14ac:dyDescent="0.2">
      <c r="A29" s="44"/>
    </row>
    <row r="30" spans="1:27" x14ac:dyDescent="0.2">
      <c r="A30" s="2"/>
      <c r="I30" s="35"/>
    </row>
    <row r="31" spans="1:27" x14ac:dyDescent="0.2">
      <c r="A31" s="44"/>
    </row>
    <row r="32" spans="1:27" x14ac:dyDescent="0.2">
      <c r="A32" s="44"/>
    </row>
    <row r="33" spans="1:18" ht="15.75" x14ac:dyDescent="0.25">
      <c r="A33" s="44"/>
      <c r="K33" s="95"/>
      <c r="L33" s="95"/>
      <c r="M33" s="95"/>
      <c r="N33" s="95"/>
      <c r="O33" s="95"/>
      <c r="P33" s="95"/>
      <c r="Q33" s="95"/>
      <c r="R33" s="95"/>
    </row>
    <row r="34" spans="1:18" ht="15.75" x14ac:dyDescent="0.25">
      <c r="A34" s="44"/>
      <c r="D34" s="94"/>
      <c r="E34" s="94"/>
      <c r="K34" s="95"/>
      <c r="L34" s="95"/>
      <c r="M34" s="95"/>
      <c r="N34" s="95"/>
      <c r="O34" s="95"/>
      <c r="P34" s="95"/>
      <c r="Q34" s="95"/>
      <c r="R34" s="95"/>
    </row>
    <row r="35" spans="1:18" ht="15.75" x14ac:dyDescent="0.25">
      <c r="A35" s="44"/>
      <c r="D35" s="94"/>
      <c r="E35" s="94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</row>
    <row r="36" spans="1:18" ht="15.75" x14ac:dyDescent="0.25">
      <c r="A36" s="44"/>
      <c r="D36" s="94"/>
      <c r="E36" s="94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</row>
    <row r="37" spans="1:18" ht="15.75" x14ac:dyDescent="0.25">
      <c r="A37" s="44"/>
      <c r="D37" s="94"/>
      <c r="E37" s="94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</row>
    <row r="38" spans="1:18" ht="15.75" x14ac:dyDescent="0.25">
      <c r="A38" s="44"/>
      <c r="D38" s="94"/>
      <c r="E38" s="94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</row>
    <row r="39" spans="1:18" ht="15.75" x14ac:dyDescent="0.25">
      <c r="A39" s="44"/>
      <c r="D39" s="94"/>
      <c r="E39" s="94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</row>
    <row r="40" spans="1:18" ht="15.75" x14ac:dyDescent="0.25">
      <c r="A40" s="44"/>
      <c r="D40" s="94"/>
      <c r="E40" s="94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</row>
    <row r="41" spans="1:18" ht="15.75" x14ac:dyDescent="0.25">
      <c r="A41" s="44"/>
      <c r="D41" s="94"/>
      <c r="E41" s="94"/>
      <c r="G41" s="95"/>
      <c r="H41" s="95"/>
      <c r="I41" s="95"/>
      <c r="J41" s="95"/>
      <c r="K41" s="95"/>
      <c r="L41" s="95"/>
      <c r="M41" s="95"/>
      <c r="N41" s="95"/>
    </row>
    <row r="42" spans="1:18" ht="15.75" x14ac:dyDescent="0.25">
      <c r="G42" s="95"/>
      <c r="H42" s="95"/>
      <c r="I42" s="95"/>
      <c r="J42" s="95"/>
      <c r="K42" s="95"/>
      <c r="L42" s="95"/>
      <c r="M42" s="95"/>
      <c r="N42" s="95"/>
    </row>
  </sheetData>
  <mergeCells count="1">
    <mergeCell ref="A1:I1"/>
  </mergeCells>
  <pageMargins left="0.7" right="0.7" top="0.75" bottom="0.75" header="0.3" footer="0.3"/>
  <pageSetup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C35" sqref="C35:C36"/>
    </sheetView>
  </sheetViews>
  <sheetFormatPr defaultColWidth="8.6640625" defaultRowHeight="15" x14ac:dyDescent="0.2"/>
  <cols>
    <col min="1" max="1" width="26.88671875" bestFit="1" customWidth="1"/>
  </cols>
  <sheetData>
    <row r="1" spans="1:1" x14ac:dyDescent="0.2">
      <c r="A1" t="s">
        <v>17</v>
      </c>
    </row>
    <row r="2" spans="1:1" x14ac:dyDescent="0.2">
      <c r="A2" t="s">
        <v>16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A42"/>
  <sheetViews>
    <sheetView showGridLines="0" view="pageBreakPreview" zoomScale="115" zoomScaleSheetLayoutView="115" workbookViewId="0">
      <selection activeCell="E26" sqref="E26"/>
    </sheetView>
  </sheetViews>
  <sheetFormatPr defaultColWidth="8.6640625" defaultRowHeight="15" x14ac:dyDescent="0.2"/>
  <cols>
    <col min="1" max="1" width="6.33203125" bestFit="1" customWidth="1"/>
    <col min="2" max="2" width="10.6640625" bestFit="1" customWidth="1"/>
    <col min="3" max="9" width="11" bestFit="1" customWidth="1"/>
    <col min="11" max="11" width="12.6640625" bestFit="1" customWidth="1"/>
  </cols>
  <sheetData>
    <row r="1" spans="1:27" ht="15.75" x14ac:dyDescent="0.25">
      <c r="A1" s="117" t="str">
        <f>'AMI &amp; Rent'!A3</f>
        <v>2024 Area Median Income</v>
      </c>
      <c r="B1" s="117"/>
      <c r="C1" s="117"/>
      <c r="D1" s="117"/>
      <c r="E1" s="117"/>
      <c r="F1" s="117"/>
      <c r="G1" s="117"/>
      <c r="H1" s="117"/>
      <c r="I1" s="117"/>
    </row>
    <row r="2" spans="1:27" x14ac:dyDescent="0.2">
      <c r="B2" s="37">
        <f>VLOOKUP(B3,'AMI &amp; Rent'!$J$48:$K$55,2,FALSE)</f>
        <v>0.7</v>
      </c>
      <c r="C2" s="37">
        <f>VLOOKUP(C3,'AMI &amp; Rent'!$J$48:$K$55,2,FALSE)</f>
        <v>0.79999999999999993</v>
      </c>
      <c r="D2" s="37">
        <f>VLOOKUP(D3,'AMI &amp; Rent'!$J$48:$K$55,2,FALSE)</f>
        <v>0.89999999999999991</v>
      </c>
      <c r="E2" s="37">
        <f>VLOOKUP(E3,'AMI &amp; Rent'!$J$48:$K$55,2,FALSE)</f>
        <v>0.99999999999999989</v>
      </c>
      <c r="F2" s="37">
        <f>VLOOKUP(F3,'AMI &amp; Rent'!$J$48:$K$55,2,FALSE)</f>
        <v>1.0799999999999998</v>
      </c>
      <c r="G2" s="37">
        <f>VLOOKUP(G3,'AMI &amp; Rent'!$J$48:$K$55,2,FALSE)</f>
        <v>1.1599999999999999</v>
      </c>
      <c r="H2" s="37">
        <f>VLOOKUP(H3,'AMI &amp; Rent'!$J$48:$K$55,2,FALSE)</f>
        <v>1.24</v>
      </c>
      <c r="I2" s="37">
        <f>VLOOKUP(I3,'AMI &amp; Rent'!$J$48:$K$55,2,FALSE)</f>
        <v>1.32</v>
      </c>
    </row>
    <row r="3" spans="1:27" ht="16.5" thickBot="1" x14ac:dyDescent="0.3">
      <c r="A3" s="38"/>
      <c r="B3" s="39">
        <v>1</v>
      </c>
      <c r="C3" s="39">
        <f t="shared" ref="C3:I3" si="0">B3+1</f>
        <v>2</v>
      </c>
      <c r="D3" s="39">
        <f t="shared" si="0"/>
        <v>3</v>
      </c>
      <c r="E3" s="39">
        <f t="shared" si="0"/>
        <v>4</v>
      </c>
      <c r="F3" s="39">
        <f t="shared" si="0"/>
        <v>5</v>
      </c>
      <c r="G3" s="39">
        <f t="shared" si="0"/>
        <v>6</v>
      </c>
      <c r="H3" s="39">
        <f t="shared" si="0"/>
        <v>7</v>
      </c>
      <c r="I3" s="39">
        <f t="shared" si="0"/>
        <v>8</v>
      </c>
    </row>
    <row r="4" spans="1:27" ht="15.75" x14ac:dyDescent="0.25">
      <c r="A4" s="40">
        <v>0.1</v>
      </c>
      <c r="B4" s="41">
        <f>IF($A4=50%,CEILING(MROUND(MROUND('AMI &amp; Rent'!$A$5*50%,50)*$A4/50%,50)*B$2,50),CEILING(MROUND('AMI &amp; Rent'!$A$5*50%,50)*B$2,50)*$A4/50%)</f>
        <v>10880</v>
      </c>
      <c r="C4" s="41">
        <f>IF($A4=50%,CEILING(MROUND(MROUND('AMI &amp; Rent'!$A$5*50%,50)*$A4/50%,50)*C$2,50),CEILING(MROUND('AMI &amp; Rent'!$A$5*50%,50)*C$2,50)*$A4/50%)</f>
        <v>12430</v>
      </c>
      <c r="D4" s="41">
        <f>IF($A4=50%,CEILING(MROUND(MROUND('AMI &amp; Rent'!$A$5*50%,50)*$A4/50%,50)*D$2,50),CEILING(MROUND('AMI &amp; Rent'!$A$5*50%,50)*D$2,50)*$A4/50%)</f>
        <v>13980</v>
      </c>
      <c r="E4" s="41">
        <f>IF($A4=50%,CEILING(MROUND(MROUND('AMI &amp; Rent'!$A$5*50%,50)*$A4/50%,50)*E$2,50),CEILING(MROUND('AMI &amp; Rent'!$A$5*50%,50)*E$2,50)*$A4/50%)</f>
        <v>15530</v>
      </c>
      <c r="F4" s="41">
        <f>IF($A4=50%,CEILING(MROUND(MROUND('AMI &amp; Rent'!$A$5*50%,50)*$A4/50%,50)*F$2,50),CEILING(MROUND('AMI &amp; Rent'!$A$5*50%,50)*F$2,50)*$A4/50%)</f>
        <v>16780</v>
      </c>
      <c r="G4" s="41">
        <f>IF($A4=50%,CEILING(MROUND(MROUND('AMI &amp; Rent'!$A$5*50%,50)*$A4/50%,50)*G$2,50),CEILING(MROUND('AMI &amp; Rent'!$A$5*50%,50)*G$2,50)*$A4/50%)</f>
        <v>18020</v>
      </c>
      <c r="H4" s="41">
        <f>IF($A4=50%,CEILING(MROUND(MROUND('AMI &amp; Rent'!$A$5*50%,50)*$A4/50%,50)*H$2,50),CEILING(MROUND('AMI &amp; Rent'!$A$5*50%,50)*H$2,50)*$A4/50%)</f>
        <v>19260</v>
      </c>
      <c r="I4" s="41">
        <f>IF($A4=50%,CEILING(MROUND(MROUND('AMI &amp; Rent'!$A$5*50%,50)*$A4/50%,50)*I$2,50),CEILING(MROUND('AMI &amp; Rent'!$A$5*50%,50)*I$2,50)*$A4/50%)</f>
        <v>20500</v>
      </c>
      <c r="K4" s="51"/>
      <c r="L4" s="51"/>
      <c r="M4" s="51"/>
      <c r="N4" s="51"/>
      <c r="O4" s="51"/>
      <c r="P4" s="51"/>
      <c r="Q4" s="51"/>
      <c r="R4" s="51"/>
      <c r="T4" s="50"/>
      <c r="U4" s="50"/>
      <c r="V4" s="50"/>
      <c r="W4" s="50"/>
      <c r="X4" s="50"/>
      <c r="Y4" s="50"/>
      <c r="Z4" s="50"/>
      <c r="AA4" s="50"/>
    </row>
    <row r="5" spans="1:27" ht="15.75" x14ac:dyDescent="0.25">
      <c r="A5" s="42">
        <f>+A4+10%</f>
        <v>0.2</v>
      </c>
      <c r="B5" s="43">
        <f>IF($A5=50%,CEILING(MROUND(MROUND('AMI &amp; Rent'!$A$5*50%,50)*$A5/50%,50)*B$2,50),CEILING(MROUND('AMI &amp; Rent'!$A$5*50%,50)*B$2,50)*$A5/50%)</f>
        <v>21760</v>
      </c>
      <c r="C5" s="43">
        <f>IF($A5=50%,CEILING(MROUND(MROUND('AMI &amp; Rent'!$A$5*50%,50)*$A5/50%,50)*C$2,50),CEILING(MROUND('AMI &amp; Rent'!$A$5*50%,50)*C$2,50)*$A5/50%)</f>
        <v>24860</v>
      </c>
      <c r="D5" s="43">
        <f>IF($A5=50%,CEILING(MROUND(MROUND('AMI &amp; Rent'!$A$5*50%,50)*$A5/50%,50)*D$2,50),CEILING(MROUND('AMI &amp; Rent'!$A$5*50%,50)*D$2,50)*$A5/50%)</f>
        <v>27960</v>
      </c>
      <c r="E5" s="43">
        <f>IF($A5=50%,CEILING(MROUND(MROUND('AMI &amp; Rent'!$A$5*50%,50)*$A5/50%,50)*E$2,50),CEILING(MROUND('AMI &amp; Rent'!$A$5*50%,50)*E$2,50)*$A5/50%)</f>
        <v>31060</v>
      </c>
      <c r="F5" s="43">
        <f>IF($A5=50%,CEILING(MROUND(MROUND('AMI &amp; Rent'!$A$5*50%,50)*$A5/50%,50)*F$2,50),CEILING(MROUND('AMI &amp; Rent'!$A$5*50%,50)*F$2,50)*$A5/50%)</f>
        <v>33560</v>
      </c>
      <c r="G5" s="43">
        <f>IF($A5=50%,CEILING(MROUND(MROUND('AMI &amp; Rent'!$A$5*50%,50)*$A5/50%,50)*G$2,50),CEILING(MROUND('AMI &amp; Rent'!$A$5*50%,50)*G$2,50)*$A5/50%)</f>
        <v>36040</v>
      </c>
      <c r="H5" s="43">
        <f>IF($A5=50%,CEILING(MROUND(MROUND('AMI &amp; Rent'!$A$5*50%,50)*$A5/50%,50)*H$2,50),CEILING(MROUND('AMI &amp; Rent'!$A$5*50%,50)*H$2,50)*$A5/50%)</f>
        <v>38520</v>
      </c>
      <c r="I5" s="43">
        <f>IF($A5=50%,CEILING(MROUND(MROUND('AMI &amp; Rent'!$A$5*50%,50)*$A5/50%,50)*I$2,50),CEILING(MROUND('AMI &amp; Rent'!$A$5*50%,50)*I$2,50)*$A5/50%)</f>
        <v>41000</v>
      </c>
      <c r="K5" s="51"/>
      <c r="L5" s="51"/>
      <c r="M5" s="51"/>
      <c r="N5" s="51"/>
      <c r="O5" s="51"/>
      <c r="P5" s="51"/>
      <c r="Q5" s="51"/>
      <c r="R5" s="51"/>
      <c r="T5" s="50"/>
      <c r="U5" s="50"/>
      <c r="V5" s="50"/>
      <c r="W5" s="50"/>
      <c r="X5" s="50"/>
      <c r="Y5" s="50"/>
      <c r="Z5" s="50"/>
      <c r="AA5" s="50"/>
    </row>
    <row r="6" spans="1:27" x14ac:dyDescent="0.2">
      <c r="A6" s="40">
        <f t="shared" ref="A6:A28" si="1">+A5+10%</f>
        <v>0.30000000000000004</v>
      </c>
      <c r="B6" s="41">
        <f>IF($A6=50%,CEILING(MROUND(MROUND('AMI &amp; Rent'!$A$5*50%,50)*$A6/50%,50)*B$2,50),CEILING(MROUND('AMI &amp; Rent'!$A$5*50%,50)*B$2,50)*$A6/50%)</f>
        <v>32640.000000000004</v>
      </c>
      <c r="C6" s="41">
        <f>IF($A6=50%,CEILING(MROUND(MROUND('AMI &amp; Rent'!$A$5*50%,50)*$A6/50%,50)*C$2,50),CEILING(MROUND('AMI &amp; Rent'!$A$5*50%,50)*C$2,50)*$A6/50%)</f>
        <v>37290.000000000007</v>
      </c>
      <c r="D6" s="41">
        <f>IF($A6=50%,CEILING(MROUND(MROUND('AMI &amp; Rent'!$A$5*50%,50)*$A6/50%,50)*D$2,50),CEILING(MROUND('AMI &amp; Rent'!$A$5*50%,50)*D$2,50)*$A6/50%)</f>
        <v>41940.000000000007</v>
      </c>
      <c r="E6" s="41">
        <f>IF($A6=50%,CEILING(MROUND(MROUND('AMI &amp; Rent'!$A$5*50%,50)*$A6/50%,50)*E$2,50),CEILING(MROUND('AMI &amp; Rent'!$A$5*50%,50)*E$2,50)*$A6/50%)</f>
        <v>46590.000000000007</v>
      </c>
      <c r="F6" s="41">
        <f>IF($A6=50%,CEILING(MROUND(MROUND('AMI &amp; Rent'!$A$5*50%,50)*$A6/50%,50)*F$2,50),CEILING(MROUND('AMI &amp; Rent'!$A$5*50%,50)*F$2,50)*$A6/50%)</f>
        <v>50340.000000000007</v>
      </c>
      <c r="G6" s="41">
        <f>IF($A6=50%,CEILING(MROUND(MROUND('AMI &amp; Rent'!$A$5*50%,50)*$A6/50%,50)*G$2,50),CEILING(MROUND('AMI &amp; Rent'!$A$5*50%,50)*G$2,50)*$A6/50%)</f>
        <v>54060.000000000007</v>
      </c>
      <c r="H6" s="41">
        <f>IF($A6=50%,CEILING(MROUND(MROUND('AMI &amp; Rent'!$A$5*50%,50)*$A6/50%,50)*H$2,50),CEILING(MROUND('AMI &amp; Rent'!$A$5*50%,50)*H$2,50)*$A6/50%)</f>
        <v>57780.000000000007</v>
      </c>
      <c r="I6" s="41">
        <f>IF($A6=50%,CEILING(MROUND(MROUND('AMI &amp; Rent'!$A$5*50%,50)*$A6/50%,50)*I$2,50),CEILING(MROUND('AMI &amp; Rent'!$A$5*50%,50)*I$2,50)*$A6/50%)</f>
        <v>61500.000000000007</v>
      </c>
      <c r="L6" s="44"/>
      <c r="T6" s="50"/>
      <c r="U6" s="50"/>
      <c r="V6" s="50"/>
      <c r="W6" s="50"/>
      <c r="X6" s="50"/>
      <c r="Y6" s="50"/>
      <c r="Z6" s="50"/>
      <c r="AA6" s="50"/>
    </row>
    <row r="7" spans="1:27" ht="15.75" x14ac:dyDescent="0.25">
      <c r="A7" s="42">
        <f t="shared" si="1"/>
        <v>0.4</v>
      </c>
      <c r="B7" s="43">
        <f>IF($A7=50%,CEILING(MROUND(MROUND('AMI &amp; Rent'!$A$5*50%,50)*$A7/50%,50)*B$2,50),CEILING(MROUND('AMI &amp; Rent'!$A$5*50%,50)*B$2,50)*$A7/50%)</f>
        <v>43520</v>
      </c>
      <c r="C7" s="43">
        <f>IF($A7=50%,CEILING(MROUND(MROUND('AMI &amp; Rent'!$A$5*50%,50)*$A7/50%,50)*C$2,50),CEILING(MROUND('AMI &amp; Rent'!$A$5*50%,50)*C$2,50)*$A7/50%)</f>
        <v>49720</v>
      </c>
      <c r="D7" s="43">
        <f>IF($A7=50%,CEILING(MROUND(MROUND('AMI &amp; Rent'!$A$5*50%,50)*$A7/50%,50)*D$2,50),CEILING(MROUND('AMI &amp; Rent'!$A$5*50%,50)*D$2,50)*$A7/50%)</f>
        <v>55920</v>
      </c>
      <c r="E7" s="43">
        <f>IF($A7=50%,CEILING(MROUND(MROUND('AMI &amp; Rent'!$A$5*50%,50)*$A7/50%,50)*E$2,50),CEILING(MROUND('AMI &amp; Rent'!$A$5*50%,50)*E$2,50)*$A7/50%)</f>
        <v>62120</v>
      </c>
      <c r="F7" s="43">
        <f>IF($A7=50%,CEILING(MROUND(MROUND('AMI &amp; Rent'!$A$5*50%,50)*$A7/50%,50)*F$2,50),CEILING(MROUND('AMI &amp; Rent'!$A$5*50%,50)*F$2,50)*$A7/50%)</f>
        <v>67120</v>
      </c>
      <c r="G7" s="43">
        <f>IF($A7=50%,CEILING(MROUND(MROUND('AMI &amp; Rent'!$A$5*50%,50)*$A7/50%,50)*G$2,50),CEILING(MROUND('AMI &amp; Rent'!$A$5*50%,50)*G$2,50)*$A7/50%)</f>
        <v>72080</v>
      </c>
      <c r="H7" s="43">
        <f>IF($A7=50%,CEILING(MROUND(MROUND('AMI &amp; Rent'!$A$5*50%,50)*$A7/50%,50)*H$2,50),CEILING(MROUND('AMI &amp; Rent'!$A$5*50%,50)*H$2,50)*$A7/50%)</f>
        <v>77040</v>
      </c>
      <c r="I7" s="43">
        <f>IF($A7=50%,CEILING(MROUND(MROUND('AMI &amp; Rent'!$A$5*50%,50)*$A7/50%,50)*I$2,50),CEILING(MROUND('AMI &amp; Rent'!$A$5*50%,50)*I$2,50)*$A7/50%)</f>
        <v>82000</v>
      </c>
      <c r="K7" s="48"/>
      <c r="L7" s="48"/>
      <c r="M7" s="48"/>
      <c r="N7" s="48"/>
      <c r="O7" s="48"/>
      <c r="P7" s="48"/>
      <c r="Q7" s="48"/>
      <c r="R7" s="48"/>
      <c r="T7" s="50"/>
      <c r="U7" s="50"/>
      <c r="V7" s="50"/>
      <c r="W7" s="50"/>
      <c r="X7" s="50"/>
      <c r="Y7" s="50"/>
      <c r="Z7" s="50"/>
      <c r="AA7" s="50"/>
    </row>
    <row r="8" spans="1:27" ht="15.75" x14ac:dyDescent="0.25">
      <c r="A8" s="40">
        <f t="shared" si="1"/>
        <v>0.5</v>
      </c>
      <c r="B8" s="41">
        <f>IF($A8=50%,CEILING(MROUND(MROUND('AMI &amp; Rent'!$A$5*50%,50)*$A8/50%,50)*B$2,50),CEILING(MROUND('AMI &amp; Rent'!$A$5*50%,50)*B$2,50)*$A8/50%)</f>
        <v>54400</v>
      </c>
      <c r="C8" s="41">
        <f>IF($A8=50%,CEILING(MROUND(MROUND('AMI &amp; Rent'!$A$5*50%,50)*$A8/50%,50)*C$2,50),CEILING(MROUND('AMI &amp; Rent'!$A$5*50%,50)*C$2,50)*$A8/50%)</f>
        <v>62150</v>
      </c>
      <c r="D8" s="41">
        <f>IF($A8=50%,CEILING(MROUND(MROUND('AMI &amp; Rent'!$A$5*50%,50)*$A8/50%,50)*D$2,50),CEILING(MROUND('AMI &amp; Rent'!$A$5*50%,50)*D$2,50)*$A8/50%)</f>
        <v>69900</v>
      </c>
      <c r="E8" s="41">
        <f>IF($A8=50%,CEILING(MROUND(MROUND('AMI &amp; Rent'!$A$5*50%,50)*$A8/50%,50)*E$2,50),CEILING(MROUND('AMI &amp; Rent'!$A$5*50%,50)*E$2,50)*$A8/50%)</f>
        <v>77650</v>
      </c>
      <c r="F8" s="41">
        <f>IF($A8=50%,CEILING(MROUND(MROUND('AMI &amp; Rent'!$A$5*50%,50)*$A8/50%,50)*F$2,50),CEILING(MROUND('AMI &amp; Rent'!$A$5*50%,50)*F$2,50)*$A8/50%)</f>
        <v>83900</v>
      </c>
      <c r="G8" s="41">
        <f>IF($A8=50%,CEILING(MROUND(MROUND('AMI &amp; Rent'!$A$5*50%,50)*$A8/50%,50)*G$2,50),CEILING(MROUND('AMI &amp; Rent'!$A$5*50%,50)*G$2,50)*$A8/50%)</f>
        <v>90100</v>
      </c>
      <c r="H8" s="41">
        <f>IF($A8=50%,CEILING(MROUND(MROUND('AMI &amp; Rent'!$A$5*50%,50)*$A8/50%,50)*H$2,50),CEILING(MROUND('AMI &amp; Rent'!$A$5*50%,50)*H$2,50)*$A8/50%)</f>
        <v>96300</v>
      </c>
      <c r="I8" s="41">
        <f>IF($A8=50%,CEILING(MROUND(MROUND('AMI &amp; Rent'!$A$5*50%,50)*$A8/50%,50)*I$2,50),CEILING(MROUND('AMI &amp; Rent'!$A$5*50%,50)*I$2,50)*$A8/50%)</f>
        <v>102500</v>
      </c>
      <c r="K8" s="48"/>
      <c r="L8" s="48"/>
      <c r="M8" s="48"/>
      <c r="N8" s="48"/>
      <c r="O8" s="48"/>
      <c r="P8" s="48"/>
      <c r="Q8" s="48"/>
      <c r="R8" s="48"/>
      <c r="T8" s="50"/>
      <c r="U8" s="50"/>
      <c r="V8" s="50"/>
      <c r="W8" s="50"/>
      <c r="X8" s="50"/>
      <c r="Y8" s="50"/>
      <c r="Z8" s="50"/>
      <c r="AA8" s="50"/>
    </row>
    <row r="9" spans="1:27" ht="15.75" x14ac:dyDescent="0.25">
      <c r="A9" s="42">
        <f t="shared" si="1"/>
        <v>0.6</v>
      </c>
      <c r="B9" s="43">
        <f>IF($A9=50%,CEILING(MROUND(MROUND('AMI &amp; Rent'!$A$5*50%,50)*$A9/50%,50)*B$2,50),CEILING(MROUND('AMI &amp; Rent'!$A$5*50%,50)*B$2,50)*$A9/50%)</f>
        <v>65280</v>
      </c>
      <c r="C9" s="43">
        <f>IF($A9=50%,CEILING(MROUND(MROUND('AMI &amp; Rent'!$A$5*50%,50)*$A9/50%,50)*C$2,50),CEILING(MROUND('AMI &amp; Rent'!$A$5*50%,50)*C$2,50)*$A9/50%)</f>
        <v>74580</v>
      </c>
      <c r="D9" s="43">
        <f>IF($A9=50%,CEILING(MROUND(MROUND('AMI &amp; Rent'!$A$5*50%,50)*$A9/50%,50)*D$2,50),CEILING(MROUND('AMI &amp; Rent'!$A$5*50%,50)*D$2,50)*$A9/50%)</f>
        <v>83880</v>
      </c>
      <c r="E9" s="43">
        <f>IF($A9=50%,CEILING(MROUND(MROUND('AMI &amp; Rent'!$A$5*50%,50)*$A9/50%,50)*E$2,50),CEILING(MROUND('AMI &amp; Rent'!$A$5*50%,50)*E$2,50)*$A9/50%)</f>
        <v>93180</v>
      </c>
      <c r="F9" s="43">
        <f>IF($A9=50%,CEILING(MROUND(MROUND('AMI &amp; Rent'!$A$5*50%,50)*$A9/50%,50)*F$2,50),CEILING(MROUND('AMI &amp; Rent'!$A$5*50%,50)*F$2,50)*$A9/50%)</f>
        <v>100680</v>
      </c>
      <c r="G9" s="43">
        <f>IF($A9=50%,CEILING(MROUND(MROUND('AMI &amp; Rent'!$A$5*50%,50)*$A9/50%,50)*G$2,50),CEILING(MROUND('AMI &amp; Rent'!$A$5*50%,50)*G$2,50)*$A9/50%)</f>
        <v>108120</v>
      </c>
      <c r="H9" s="43">
        <f>IF($A9=50%,CEILING(MROUND(MROUND('AMI &amp; Rent'!$A$5*50%,50)*$A9/50%,50)*H$2,50),CEILING(MROUND('AMI &amp; Rent'!$A$5*50%,50)*H$2,50)*$A9/50%)</f>
        <v>115560</v>
      </c>
      <c r="I9" s="43">
        <f>IF($A9=50%,CEILING(MROUND(MROUND('AMI &amp; Rent'!$A$5*50%,50)*$A9/50%,50)*I$2,50),CEILING(MROUND('AMI &amp; Rent'!$A$5*50%,50)*I$2,50)*$A9/50%)</f>
        <v>123000</v>
      </c>
      <c r="K9" s="48"/>
      <c r="L9" s="48"/>
      <c r="M9" s="48"/>
      <c r="N9" s="48"/>
      <c r="O9" s="48"/>
      <c r="P9" s="48"/>
      <c r="Q9" s="48"/>
      <c r="R9" s="48"/>
      <c r="T9" s="50"/>
      <c r="U9" s="50"/>
      <c r="V9" s="50"/>
      <c r="W9" s="50"/>
      <c r="X9" s="50"/>
      <c r="Y9" s="50"/>
      <c r="Z9" s="50"/>
      <c r="AA9" s="50"/>
    </row>
    <row r="10" spans="1:27" ht="15.75" x14ac:dyDescent="0.25">
      <c r="A10" s="40">
        <f t="shared" si="1"/>
        <v>0.7</v>
      </c>
      <c r="B10" s="41">
        <f>IF($A10=50%,CEILING(MROUND(MROUND('AMI &amp; Rent'!$A$5*50%,50)*$A10/50%,50)*B$2,50),CEILING(MROUND('AMI &amp; Rent'!$A$5*50%,50)*B$2,50)*$A10/50%)</f>
        <v>76160</v>
      </c>
      <c r="C10" s="41">
        <f>IF($A10=50%,CEILING(MROUND(MROUND('AMI &amp; Rent'!$A$5*50%,50)*$A10/50%,50)*C$2,50),CEILING(MROUND('AMI &amp; Rent'!$A$5*50%,50)*C$2,50)*$A10/50%)</f>
        <v>87010</v>
      </c>
      <c r="D10" s="41">
        <f>IF($A10=50%,CEILING(MROUND(MROUND('AMI &amp; Rent'!$A$5*50%,50)*$A10/50%,50)*D$2,50),CEILING(MROUND('AMI &amp; Rent'!$A$5*50%,50)*D$2,50)*$A10/50%)</f>
        <v>97860</v>
      </c>
      <c r="E10" s="41">
        <f>IF($A10=50%,CEILING(MROUND(MROUND('AMI &amp; Rent'!$A$5*50%,50)*$A10/50%,50)*E$2,50),CEILING(MROUND('AMI &amp; Rent'!$A$5*50%,50)*E$2,50)*$A10/50%)</f>
        <v>108710</v>
      </c>
      <c r="F10" s="41">
        <f>IF($A10=50%,CEILING(MROUND(MROUND('AMI &amp; Rent'!$A$5*50%,50)*$A10/50%,50)*F$2,50),CEILING(MROUND('AMI &amp; Rent'!$A$5*50%,50)*F$2,50)*$A10/50%)</f>
        <v>117459.99999999999</v>
      </c>
      <c r="G10" s="41">
        <f>IF($A10=50%,CEILING(MROUND(MROUND('AMI &amp; Rent'!$A$5*50%,50)*$A10/50%,50)*G$2,50),CEILING(MROUND('AMI &amp; Rent'!$A$5*50%,50)*G$2,50)*$A10/50%)</f>
        <v>126139.99999999999</v>
      </c>
      <c r="H10" s="41">
        <f>IF($A10=50%,CEILING(MROUND(MROUND('AMI &amp; Rent'!$A$5*50%,50)*$A10/50%,50)*H$2,50),CEILING(MROUND('AMI &amp; Rent'!$A$5*50%,50)*H$2,50)*$A10/50%)</f>
        <v>134820</v>
      </c>
      <c r="I10" s="41">
        <f>IF($A10=50%,CEILING(MROUND(MROUND('AMI &amp; Rent'!$A$5*50%,50)*$A10/50%,50)*I$2,50),CEILING(MROUND('AMI &amp; Rent'!$A$5*50%,50)*I$2,50)*$A10/50%)</f>
        <v>143500</v>
      </c>
      <c r="K10" s="48"/>
      <c r="L10" s="48"/>
      <c r="M10" s="48"/>
      <c r="N10" s="48"/>
      <c r="O10" s="48"/>
      <c r="P10" s="48"/>
      <c r="Q10" s="48"/>
      <c r="R10" s="48"/>
      <c r="T10" s="50"/>
      <c r="U10" s="50"/>
      <c r="V10" s="50"/>
      <c r="W10" s="50"/>
      <c r="X10" s="50"/>
      <c r="Y10" s="50"/>
      <c r="Z10" s="50"/>
      <c r="AA10" s="50"/>
    </row>
    <row r="11" spans="1:27" ht="15.75" x14ac:dyDescent="0.25">
      <c r="A11" s="42">
        <f t="shared" si="1"/>
        <v>0.79999999999999993</v>
      </c>
      <c r="B11" s="43">
        <f>IF($A11=50%,CEILING(MROUND(MROUND('AMI &amp; Rent'!$A$5*50%,50)*$A11/50%,50)*B$2,50),CEILING(MROUND('AMI &amp; Rent'!$A$5*50%,50)*B$2,50)*$A11/50%)</f>
        <v>87040</v>
      </c>
      <c r="C11" s="43">
        <f>IF($A11=50%,CEILING(MROUND(MROUND('AMI &amp; Rent'!$A$5*50%,50)*$A11/50%,50)*C$2,50),CEILING(MROUND('AMI &amp; Rent'!$A$5*50%,50)*C$2,50)*$A11/50%)</f>
        <v>99439.999999999985</v>
      </c>
      <c r="D11" s="43">
        <f>IF($A11=50%,CEILING(MROUND(MROUND('AMI &amp; Rent'!$A$5*50%,50)*$A11/50%,50)*D$2,50),CEILING(MROUND('AMI &amp; Rent'!$A$5*50%,50)*D$2,50)*$A11/50%)</f>
        <v>111839.99999999999</v>
      </c>
      <c r="E11" s="43">
        <f>IF($A11=50%,CEILING(MROUND(MROUND('AMI &amp; Rent'!$A$5*50%,50)*$A11/50%,50)*E$2,50),CEILING(MROUND('AMI &amp; Rent'!$A$5*50%,50)*E$2,50)*$A11/50%)</f>
        <v>124239.99999999999</v>
      </c>
      <c r="F11" s="43">
        <f>IF($A11=50%,CEILING(MROUND(MROUND('AMI &amp; Rent'!$A$5*50%,50)*$A11/50%,50)*F$2,50),CEILING(MROUND('AMI &amp; Rent'!$A$5*50%,50)*F$2,50)*$A11/50%)</f>
        <v>134240</v>
      </c>
      <c r="G11" s="43">
        <f>IF($A11=50%,CEILING(MROUND(MROUND('AMI &amp; Rent'!$A$5*50%,50)*$A11/50%,50)*G$2,50),CEILING(MROUND('AMI &amp; Rent'!$A$5*50%,50)*G$2,50)*$A11/50%)</f>
        <v>144160</v>
      </c>
      <c r="H11" s="43">
        <f>IF($A11=50%,CEILING(MROUND(MROUND('AMI &amp; Rent'!$A$5*50%,50)*$A11/50%,50)*H$2,50),CEILING(MROUND('AMI &amp; Rent'!$A$5*50%,50)*H$2,50)*$A11/50%)</f>
        <v>154080</v>
      </c>
      <c r="I11" s="43">
        <f>IF($A11=50%,CEILING(MROUND(MROUND('AMI &amp; Rent'!$A$5*50%,50)*$A11/50%,50)*I$2,50),CEILING(MROUND('AMI &amp; Rent'!$A$5*50%,50)*I$2,50)*$A11/50%)</f>
        <v>164000</v>
      </c>
      <c r="K11" s="48"/>
      <c r="L11" s="48"/>
      <c r="M11" s="48"/>
      <c r="N11" s="48"/>
      <c r="O11" s="48"/>
      <c r="P11" s="48"/>
      <c r="Q11" s="48"/>
      <c r="R11" s="48"/>
      <c r="T11" s="50"/>
      <c r="U11" s="50"/>
      <c r="V11" s="50"/>
      <c r="W11" s="50"/>
      <c r="X11" s="50"/>
      <c r="Y11" s="50"/>
      <c r="Z11" s="50"/>
      <c r="AA11" s="50"/>
    </row>
    <row r="12" spans="1:27" ht="15.75" x14ac:dyDescent="0.25">
      <c r="A12" s="40">
        <f t="shared" si="1"/>
        <v>0.89999999999999991</v>
      </c>
      <c r="B12" s="41">
        <f>IF($A12=50%,CEILING(MROUND(MROUND('AMI &amp; Rent'!$A$5*50%,50)*$A12/50%,50)*B$2,50),CEILING(MROUND('AMI &amp; Rent'!$A$5*50%,50)*B$2,50)*$A12/50%)</f>
        <v>97919.999999999985</v>
      </c>
      <c r="C12" s="41">
        <f>IF($A12=50%,CEILING(MROUND(MROUND('AMI &amp; Rent'!$A$5*50%,50)*$A12/50%,50)*C$2,50),CEILING(MROUND('AMI &amp; Rent'!$A$5*50%,50)*C$2,50)*$A12/50%)</f>
        <v>111869.99999999999</v>
      </c>
      <c r="D12" s="41">
        <f>IF($A12=50%,CEILING(MROUND(MROUND('AMI &amp; Rent'!$A$5*50%,50)*$A12/50%,50)*D$2,50),CEILING(MROUND('AMI &amp; Rent'!$A$5*50%,50)*D$2,50)*$A12/50%)</f>
        <v>125819.99999999999</v>
      </c>
      <c r="E12" s="41">
        <f>IF($A12=50%,CEILING(MROUND(MROUND('AMI &amp; Rent'!$A$5*50%,50)*$A12/50%,50)*E$2,50),CEILING(MROUND('AMI &amp; Rent'!$A$5*50%,50)*E$2,50)*$A12/50%)</f>
        <v>139770</v>
      </c>
      <c r="F12" s="41">
        <f>IF($A12=50%,CEILING(MROUND(MROUND('AMI &amp; Rent'!$A$5*50%,50)*$A12/50%,50)*F$2,50),CEILING(MROUND('AMI &amp; Rent'!$A$5*50%,50)*F$2,50)*$A12/50%)</f>
        <v>151019.99999999997</v>
      </c>
      <c r="G12" s="41">
        <f>IF($A12=50%,CEILING(MROUND(MROUND('AMI &amp; Rent'!$A$5*50%,50)*$A12/50%,50)*G$2,50),CEILING(MROUND('AMI &amp; Rent'!$A$5*50%,50)*G$2,50)*$A12/50%)</f>
        <v>162179.99999999997</v>
      </c>
      <c r="H12" s="41">
        <f>IF($A12=50%,CEILING(MROUND(MROUND('AMI &amp; Rent'!$A$5*50%,50)*$A12/50%,50)*H$2,50),CEILING(MROUND('AMI &amp; Rent'!$A$5*50%,50)*H$2,50)*$A12/50%)</f>
        <v>173339.99999999997</v>
      </c>
      <c r="I12" s="41">
        <f>IF($A12=50%,CEILING(MROUND(MROUND('AMI &amp; Rent'!$A$5*50%,50)*$A12/50%,50)*I$2,50),CEILING(MROUND('AMI &amp; Rent'!$A$5*50%,50)*I$2,50)*$A12/50%)</f>
        <v>184499.99999999997</v>
      </c>
      <c r="K12" s="48"/>
      <c r="L12" s="48"/>
      <c r="M12" s="48"/>
      <c r="N12" s="48"/>
      <c r="O12" s="48"/>
      <c r="P12" s="48"/>
      <c r="Q12" s="48"/>
      <c r="R12" s="48"/>
      <c r="T12" s="50"/>
      <c r="U12" s="50"/>
      <c r="V12" s="50"/>
      <c r="W12" s="50"/>
      <c r="X12" s="50"/>
      <c r="Y12" s="50"/>
      <c r="Z12" s="50"/>
      <c r="AA12" s="50"/>
    </row>
    <row r="13" spans="1:27" ht="15.75" x14ac:dyDescent="0.25">
      <c r="A13" s="42">
        <f t="shared" si="1"/>
        <v>0.99999999999999989</v>
      </c>
      <c r="B13" s="43">
        <f>IF($A13=50%,CEILING(MROUND(MROUND('AMI &amp; Rent'!$A$5*50%,50)*$A13/50%,50)*B$2,50),CEILING(MROUND('AMI &amp; Rent'!$A$5*50%,50)*B$2,50)*$A13/50%)</f>
        <v>108799.99999999999</v>
      </c>
      <c r="C13" s="43">
        <f>IF($A13=50%,CEILING(MROUND(MROUND('AMI &amp; Rent'!$A$5*50%,50)*$A13/50%,50)*C$2,50),CEILING(MROUND('AMI &amp; Rent'!$A$5*50%,50)*C$2,50)*$A13/50%)</f>
        <v>124299.99999999999</v>
      </c>
      <c r="D13" s="43">
        <f>IF($A13=50%,CEILING(MROUND(MROUND('AMI &amp; Rent'!$A$5*50%,50)*$A13/50%,50)*D$2,50),CEILING(MROUND('AMI &amp; Rent'!$A$5*50%,50)*D$2,50)*$A13/50%)</f>
        <v>139799.99999999997</v>
      </c>
      <c r="E13" s="58">
        <f>IF($A13=50%,CEILING(MROUND(MROUND('AMI &amp; Rent'!$A$5*50%,50)*$A13/50%,50)*E$2,50),CEILING(MROUND('AMI &amp; Rent'!$A$5*50%,50)*E$2,50)*$A13/50%)</f>
        <v>155299.99999999997</v>
      </c>
      <c r="F13" s="43">
        <f>IF($A13=50%,CEILING(MROUND(MROUND('AMI &amp; Rent'!$A$5*50%,50)*$A13/50%,50)*F$2,50),CEILING(MROUND('AMI &amp; Rent'!$A$5*50%,50)*F$2,50)*$A13/50%)</f>
        <v>167799.99999999997</v>
      </c>
      <c r="G13" s="43">
        <f>IF($A13=50%,CEILING(MROUND(MROUND('AMI &amp; Rent'!$A$5*50%,50)*$A13/50%,50)*G$2,50),CEILING(MROUND('AMI &amp; Rent'!$A$5*50%,50)*G$2,50)*$A13/50%)</f>
        <v>180199.99999999997</v>
      </c>
      <c r="H13" s="43">
        <f>IF($A13=50%,CEILING(MROUND(MROUND('AMI &amp; Rent'!$A$5*50%,50)*$A13/50%,50)*H$2,50),CEILING(MROUND('AMI &amp; Rent'!$A$5*50%,50)*H$2,50)*$A13/50%)</f>
        <v>192599.99999999997</v>
      </c>
      <c r="I13" s="43">
        <f>IF($A13=50%,CEILING(MROUND(MROUND('AMI &amp; Rent'!$A$5*50%,50)*$A13/50%,50)*I$2,50),CEILING(MROUND('AMI &amp; Rent'!$A$5*50%,50)*I$2,50)*$A13/50%)</f>
        <v>204999.99999999997</v>
      </c>
      <c r="K13" s="48"/>
      <c r="L13" s="48"/>
      <c r="M13" s="48"/>
      <c r="N13" s="48"/>
      <c r="O13" s="48"/>
      <c r="P13" s="48"/>
      <c r="Q13" s="48"/>
      <c r="R13" s="48"/>
      <c r="T13" s="50"/>
      <c r="U13" s="50"/>
      <c r="V13" s="50"/>
      <c r="W13" s="50"/>
      <c r="X13" s="50"/>
      <c r="Y13" s="50"/>
      <c r="Z13" s="50"/>
      <c r="AA13" s="50"/>
    </row>
    <row r="14" spans="1:27" ht="15.75" x14ac:dyDescent="0.25">
      <c r="A14" s="40">
        <f t="shared" si="1"/>
        <v>1.0999999999999999</v>
      </c>
      <c r="B14" s="41">
        <f>IF($A14=50%,CEILING(MROUND(MROUND('AMI &amp; Rent'!$A$5*50%,50)*$A14/50%,50)*B$2,50),CEILING(MROUND('AMI &amp; Rent'!$A$5*50%,50)*B$2,50)*$A14/50%)</f>
        <v>119679.99999999999</v>
      </c>
      <c r="C14" s="41">
        <f>IF($A14=50%,CEILING(MROUND(MROUND('AMI &amp; Rent'!$A$5*50%,50)*$A14/50%,50)*C$2,50),CEILING(MROUND('AMI &amp; Rent'!$A$5*50%,50)*C$2,50)*$A14/50%)</f>
        <v>136729.99999999997</v>
      </c>
      <c r="D14" s="41">
        <f>IF($A14=50%,CEILING(MROUND(MROUND('AMI &amp; Rent'!$A$5*50%,50)*$A14/50%,50)*D$2,50),CEILING(MROUND('AMI &amp; Rent'!$A$5*50%,50)*D$2,50)*$A14/50%)</f>
        <v>153779.99999999997</v>
      </c>
      <c r="E14" s="41">
        <f>IF($A14=50%,CEILING(MROUND(MROUND('AMI &amp; Rent'!$A$5*50%,50)*$A14/50%,50)*E$2,50),CEILING(MROUND('AMI &amp; Rent'!$A$5*50%,50)*E$2,50)*$A14/50%)</f>
        <v>170829.99999999997</v>
      </c>
      <c r="F14" s="41">
        <f>IF($A14=50%,CEILING(MROUND(MROUND('AMI &amp; Rent'!$A$5*50%,50)*$A14/50%,50)*F$2,50),CEILING(MROUND('AMI &amp; Rent'!$A$5*50%,50)*F$2,50)*$A14/50%)</f>
        <v>184579.99999999997</v>
      </c>
      <c r="G14" s="41">
        <f>IF($A14=50%,CEILING(MROUND(MROUND('AMI &amp; Rent'!$A$5*50%,50)*$A14/50%,50)*G$2,50),CEILING(MROUND('AMI &amp; Rent'!$A$5*50%,50)*G$2,50)*$A14/50%)</f>
        <v>198219.99999999997</v>
      </c>
      <c r="H14" s="41">
        <f>IF($A14=50%,CEILING(MROUND(MROUND('AMI &amp; Rent'!$A$5*50%,50)*$A14/50%,50)*H$2,50),CEILING(MROUND('AMI &amp; Rent'!$A$5*50%,50)*H$2,50)*$A14/50%)</f>
        <v>211859.99999999997</v>
      </c>
      <c r="I14" s="41">
        <f>IF($A14=50%,CEILING(MROUND(MROUND('AMI &amp; Rent'!$A$5*50%,50)*$A14/50%,50)*I$2,50),CEILING(MROUND('AMI &amp; Rent'!$A$5*50%,50)*I$2,50)*$A14/50%)</f>
        <v>225499.99999999997</v>
      </c>
      <c r="K14" s="48"/>
      <c r="L14" s="48"/>
      <c r="M14" s="48"/>
      <c r="N14" s="48"/>
      <c r="O14" s="48"/>
      <c r="P14" s="48"/>
      <c r="Q14" s="48"/>
      <c r="R14" s="48"/>
      <c r="T14" s="50"/>
      <c r="U14" s="50"/>
      <c r="V14" s="50"/>
      <c r="W14" s="50"/>
      <c r="X14" s="50"/>
      <c r="Y14" s="50"/>
      <c r="Z14" s="50"/>
      <c r="AA14" s="50"/>
    </row>
    <row r="15" spans="1:27" ht="15.75" x14ac:dyDescent="0.25">
      <c r="A15" s="42">
        <f t="shared" si="1"/>
        <v>1.2</v>
      </c>
      <c r="B15" s="43">
        <f>IF($A15=50%,CEILING(MROUND(MROUND('AMI &amp; Rent'!$A$5*50%,50)*$A15/50%,50)*B$2,50),CEILING(MROUND('AMI &amp; Rent'!$A$5*50%,50)*B$2,50)*$A15/50%)</f>
        <v>130560</v>
      </c>
      <c r="C15" s="43">
        <f>IF($A15=50%,CEILING(MROUND(MROUND('AMI &amp; Rent'!$A$5*50%,50)*$A15/50%,50)*C$2,50),CEILING(MROUND('AMI &amp; Rent'!$A$5*50%,50)*C$2,50)*$A15/50%)</f>
        <v>149160</v>
      </c>
      <c r="D15" s="43">
        <f>IF($A15=50%,CEILING(MROUND(MROUND('AMI &amp; Rent'!$A$5*50%,50)*$A15/50%,50)*D$2,50),CEILING(MROUND('AMI &amp; Rent'!$A$5*50%,50)*D$2,50)*$A15/50%)</f>
        <v>167760</v>
      </c>
      <c r="E15" s="43">
        <f>IF($A15=50%,CEILING(MROUND(MROUND('AMI &amp; Rent'!$A$5*50%,50)*$A15/50%,50)*E$2,50),CEILING(MROUND('AMI &amp; Rent'!$A$5*50%,50)*E$2,50)*$A15/50%)</f>
        <v>186360</v>
      </c>
      <c r="F15" s="43">
        <f>IF($A15=50%,CEILING(MROUND(MROUND('AMI &amp; Rent'!$A$5*50%,50)*$A15/50%,50)*F$2,50),CEILING(MROUND('AMI &amp; Rent'!$A$5*50%,50)*F$2,50)*$A15/50%)</f>
        <v>201360</v>
      </c>
      <c r="G15" s="43">
        <f>IF($A15=50%,CEILING(MROUND(MROUND('AMI &amp; Rent'!$A$5*50%,50)*$A15/50%,50)*G$2,50),CEILING(MROUND('AMI &amp; Rent'!$A$5*50%,50)*G$2,50)*$A15/50%)</f>
        <v>216240</v>
      </c>
      <c r="H15" s="43">
        <f>IF($A15=50%,CEILING(MROUND(MROUND('AMI &amp; Rent'!$A$5*50%,50)*$A15/50%,50)*H$2,50),CEILING(MROUND('AMI &amp; Rent'!$A$5*50%,50)*H$2,50)*$A15/50%)</f>
        <v>231120</v>
      </c>
      <c r="I15" s="43">
        <f>IF($A15=50%,CEILING(MROUND(MROUND('AMI &amp; Rent'!$A$5*50%,50)*$A15/50%,50)*I$2,50),CEILING(MROUND('AMI &amp; Rent'!$A$5*50%,50)*I$2,50)*$A15/50%)</f>
        <v>246000</v>
      </c>
      <c r="K15" s="48"/>
      <c r="L15" s="48"/>
      <c r="M15" s="48"/>
      <c r="N15" s="48"/>
      <c r="O15" s="48"/>
      <c r="P15" s="48"/>
      <c r="Q15" s="48"/>
      <c r="R15" s="48"/>
      <c r="T15" s="50"/>
      <c r="U15" s="50"/>
      <c r="V15" s="50"/>
      <c r="W15" s="50"/>
      <c r="X15" s="50"/>
      <c r="Y15" s="50"/>
      <c r="Z15" s="50"/>
      <c r="AA15" s="50"/>
    </row>
    <row r="16" spans="1:27" ht="15.75" x14ac:dyDescent="0.25">
      <c r="A16" s="40">
        <f t="shared" si="1"/>
        <v>1.3</v>
      </c>
      <c r="B16" s="41">
        <f>IF($A16=50%,CEILING(MROUND(MROUND('AMI &amp; Rent'!$A$5*50%,50)*$A16/50%,50)*B$2,50),CEILING(MROUND('AMI &amp; Rent'!$A$5*50%,50)*B$2,50)*$A16/50%)</f>
        <v>141440</v>
      </c>
      <c r="C16" s="41">
        <f>IF($A16=50%,CEILING(MROUND(MROUND('AMI &amp; Rent'!$A$5*50%,50)*$A16/50%,50)*C$2,50),CEILING(MROUND('AMI &amp; Rent'!$A$5*50%,50)*C$2,50)*$A16/50%)</f>
        <v>161590</v>
      </c>
      <c r="D16" s="41">
        <f>IF($A16=50%,CEILING(MROUND(MROUND('AMI &amp; Rent'!$A$5*50%,50)*$A16/50%,50)*D$2,50),CEILING(MROUND('AMI &amp; Rent'!$A$5*50%,50)*D$2,50)*$A16/50%)</f>
        <v>181740</v>
      </c>
      <c r="E16" s="41">
        <f>IF($A16=50%,CEILING(MROUND(MROUND('AMI &amp; Rent'!$A$5*50%,50)*$A16/50%,50)*E$2,50),CEILING(MROUND('AMI &amp; Rent'!$A$5*50%,50)*E$2,50)*$A16/50%)</f>
        <v>201890</v>
      </c>
      <c r="F16" s="41">
        <f>IF($A16=50%,CEILING(MROUND(MROUND('AMI &amp; Rent'!$A$5*50%,50)*$A16/50%,50)*F$2,50),CEILING(MROUND('AMI &amp; Rent'!$A$5*50%,50)*F$2,50)*$A16/50%)</f>
        <v>218140</v>
      </c>
      <c r="G16" s="41">
        <f>IF($A16=50%,CEILING(MROUND(MROUND('AMI &amp; Rent'!$A$5*50%,50)*$A16/50%,50)*G$2,50),CEILING(MROUND('AMI &amp; Rent'!$A$5*50%,50)*G$2,50)*$A16/50%)</f>
        <v>234260</v>
      </c>
      <c r="H16" s="41">
        <f>IF($A16=50%,CEILING(MROUND(MROUND('AMI &amp; Rent'!$A$5*50%,50)*$A16/50%,50)*H$2,50),CEILING(MROUND('AMI &amp; Rent'!$A$5*50%,50)*H$2,50)*$A16/50%)</f>
        <v>250380</v>
      </c>
      <c r="I16" s="41">
        <f>IF($A16=50%,CEILING(MROUND(MROUND('AMI &amp; Rent'!$A$5*50%,50)*$A16/50%,50)*I$2,50),CEILING(MROUND('AMI &amp; Rent'!$A$5*50%,50)*I$2,50)*$A16/50%)</f>
        <v>266500</v>
      </c>
      <c r="K16" s="48"/>
      <c r="L16" s="48"/>
      <c r="M16" s="48"/>
      <c r="N16" s="48"/>
      <c r="O16" s="48"/>
      <c r="P16" s="48"/>
      <c r="Q16" s="48"/>
      <c r="R16" s="48"/>
      <c r="T16" s="50"/>
      <c r="U16" s="50"/>
      <c r="V16" s="50"/>
      <c r="W16" s="50"/>
      <c r="X16" s="50"/>
      <c r="Y16" s="50"/>
      <c r="Z16" s="50"/>
      <c r="AA16" s="50"/>
    </row>
    <row r="17" spans="1:27" ht="15.75" x14ac:dyDescent="0.25">
      <c r="A17" s="42">
        <f t="shared" si="1"/>
        <v>1.4000000000000001</v>
      </c>
      <c r="B17" s="43">
        <f>IF($A17=50%,CEILING(MROUND(MROUND('AMI &amp; Rent'!$A$5*50%,50)*$A17/50%,50)*B$2,50),CEILING(MROUND('AMI &amp; Rent'!$A$5*50%,50)*B$2,50)*$A17/50%)</f>
        <v>152320</v>
      </c>
      <c r="C17" s="43">
        <f>IF($A17=50%,CEILING(MROUND(MROUND('AMI &amp; Rent'!$A$5*50%,50)*$A17/50%,50)*C$2,50),CEILING(MROUND('AMI &amp; Rent'!$A$5*50%,50)*C$2,50)*$A17/50%)</f>
        <v>174020.00000000003</v>
      </c>
      <c r="D17" s="43">
        <f>IF($A17=50%,CEILING(MROUND(MROUND('AMI &amp; Rent'!$A$5*50%,50)*$A17/50%,50)*D$2,50),CEILING(MROUND('AMI &amp; Rent'!$A$5*50%,50)*D$2,50)*$A17/50%)</f>
        <v>195720.00000000003</v>
      </c>
      <c r="E17" s="43">
        <f>IF($A17=50%,CEILING(MROUND(MROUND('AMI &amp; Rent'!$A$5*50%,50)*$A17/50%,50)*E$2,50),CEILING(MROUND('AMI &amp; Rent'!$A$5*50%,50)*E$2,50)*$A17/50%)</f>
        <v>217420.00000000003</v>
      </c>
      <c r="F17" s="43">
        <f>IF($A17=50%,CEILING(MROUND(MROUND('AMI &amp; Rent'!$A$5*50%,50)*$A17/50%,50)*F$2,50),CEILING(MROUND('AMI &amp; Rent'!$A$5*50%,50)*F$2,50)*$A17/50%)</f>
        <v>234920.00000000003</v>
      </c>
      <c r="G17" s="43">
        <f>IF($A17=50%,CEILING(MROUND(MROUND('AMI &amp; Rent'!$A$5*50%,50)*$A17/50%,50)*G$2,50),CEILING(MROUND('AMI &amp; Rent'!$A$5*50%,50)*G$2,50)*$A17/50%)</f>
        <v>252280.00000000003</v>
      </c>
      <c r="H17" s="43">
        <f>IF($A17=50%,CEILING(MROUND(MROUND('AMI &amp; Rent'!$A$5*50%,50)*$A17/50%,50)*H$2,50),CEILING(MROUND('AMI &amp; Rent'!$A$5*50%,50)*H$2,50)*$A17/50%)</f>
        <v>269640</v>
      </c>
      <c r="I17" s="43">
        <f>IF($A17=50%,CEILING(MROUND(MROUND('AMI &amp; Rent'!$A$5*50%,50)*$A17/50%,50)*I$2,50),CEILING(MROUND('AMI &amp; Rent'!$A$5*50%,50)*I$2,50)*$A17/50%)</f>
        <v>287000</v>
      </c>
      <c r="K17" s="48"/>
      <c r="L17" s="48"/>
      <c r="M17" s="48"/>
      <c r="N17" s="48"/>
      <c r="O17" s="48"/>
      <c r="P17" s="48"/>
      <c r="Q17" s="48"/>
      <c r="R17" s="48"/>
      <c r="T17" s="50"/>
      <c r="U17" s="50"/>
      <c r="V17" s="50"/>
      <c r="W17" s="50"/>
      <c r="X17" s="50"/>
      <c r="Y17" s="50"/>
      <c r="Z17" s="50"/>
      <c r="AA17" s="50"/>
    </row>
    <row r="18" spans="1:27" ht="15.75" x14ac:dyDescent="0.25">
      <c r="A18" s="40">
        <f t="shared" si="1"/>
        <v>1.5000000000000002</v>
      </c>
      <c r="B18" s="41">
        <f>IF($A18=50%,CEILING(MROUND(MROUND('AMI &amp; Rent'!$A$5*50%,50)*$A18/50%,50)*B$2,50),CEILING(MROUND('AMI &amp; Rent'!$A$5*50%,50)*B$2,50)*$A18/50%)</f>
        <v>163200.00000000003</v>
      </c>
      <c r="C18" s="41">
        <f>IF($A18=50%,CEILING(MROUND(MROUND('AMI &amp; Rent'!$A$5*50%,50)*$A18/50%,50)*C$2,50),CEILING(MROUND('AMI &amp; Rent'!$A$5*50%,50)*C$2,50)*$A18/50%)</f>
        <v>186450.00000000003</v>
      </c>
      <c r="D18" s="41">
        <f>IF($A18=50%,CEILING(MROUND(MROUND('AMI &amp; Rent'!$A$5*50%,50)*$A18/50%,50)*D$2,50),CEILING(MROUND('AMI &amp; Rent'!$A$5*50%,50)*D$2,50)*$A18/50%)</f>
        <v>209700.00000000003</v>
      </c>
      <c r="E18" s="41">
        <f>IF($A18=50%,CEILING(MROUND(MROUND('AMI &amp; Rent'!$A$5*50%,50)*$A18/50%,50)*E$2,50),CEILING(MROUND('AMI &amp; Rent'!$A$5*50%,50)*E$2,50)*$A18/50%)</f>
        <v>232950.00000000003</v>
      </c>
      <c r="F18" s="41">
        <f>IF($A18=50%,CEILING(MROUND(MROUND('AMI &amp; Rent'!$A$5*50%,50)*$A18/50%,50)*F$2,50),CEILING(MROUND('AMI &amp; Rent'!$A$5*50%,50)*F$2,50)*$A18/50%)</f>
        <v>251700.00000000003</v>
      </c>
      <c r="G18" s="41">
        <f>IF($A18=50%,CEILING(MROUND(MROUND('AMI &amp; Rent'!$A$5*50%,50)*$A18/50%,50)*G$2,50),CEILING(MROUND('AMI &amp; Rent'!$A$5*50%,50)*G$2,50)*$A18/50%)</f>
        <v>270300.00000000006</v>
      </c>
      <c r="H18" s="41">
        <f>IF($A18=50%,CEILING(MROUND(MROUND('AMI &amp; Rent'!$A$5*50%,50)*$A18/50%,50)*H$2,50),CEILING(MROUND('AMI &amp; Rent'!$A$5*50%,50)*H$2,50)*$A18/50%)</f>
        <v>288900.00000000006</v>
      </c>
      <c r="I18" s="41">
        <f>IF($A18=50%,CEILING(MROUND(MROUND('AMI &amp; Rent'!$A$5*50%,50)*$A18/50%,50)*I$2,50),CEILING(MROUND('AMI &amp; Rent'!$A$5*50%,50)*I$2,50)*$A18/50%)</f>
        <v>307500.00000000006</v>
      </c>
      <c r="K18" s="48"/>
      <c r="L18" s="48"/>
      <c r="M18" s="48"/>
      <c r="N18" s="48"/>
      <c r="O18" s="48"/>
      <c r="P18" s="48"/>
      <c r="Q18" s="48"/>
      <c r="R18" s="48"/>
      <c r="T18" s="50"/>
      <c r="U18" s="50"/>
      <c r="V18" s="50"/>
      <c r="W18" s="50"/>
      <c r="X18" s="50"/>
      <c r="Y18" s="50"/>
      <c r="Z18" s="50"/>
      <c r="AA18" s="50"/>
    </row>
    <row r="19" spans="1:27" ht="15.75" x14ac:dyDescent="0.25">
      <c r="A19" s="42">
        <f t="shared" si="1"/>
        <v>1.6000000000000003</v>
      </c>
      <c r="B19" s="43">
        <f>IF($A19=50%,CEILING(MROUND(MROUND('AMI &amp; Rent'!$A$5*50%,50)*$A19/50%,50)*B$2,50),CEILING(MROUND('AMI &amp; Rent'!$A$5*50%,50)*B$2,50)*$A19/50%)</f>
        <v>174080.00000000003</v>
      </c>
      <c r="C19" s="43">
        <f>IF($A19=50%,CEILING(MROUND(MROUND('AMI &amp; Rent'!$A$5*50%,50)*$A19/50%,50)*C$2,50),CEILING(MROUND('AMI &amp; Rent'!$A$5*50%,50)*C$2,50)*$A19/50%)</f>
        <v>198880.00000000003</v>
      </c>
      <c r="D19" s="43">
        <f>IF($A19=50%,CEILING(MROUND(MROUND('AMI &amp; Rent'!$A$5*50%,50)*$A19/50%,50)*D$2,50),CEILING(MROUND('AMI &amp; Rent'!$A$5*50%,50)*D$2,50)*$A19/50%)</f>
        <v>223680.00000000003</v>
      </c>
      <c r="E19" s="43">
        <f>IF($A19=50%,CEILING(MROUND(MROUND('AMI &amp; Rent'!$A$5*50%,50)*$A19/50%,50)*E$2,50),CEILING(MROUND('AMI &amp; Rent'!$A$5*50%,50)*E$2,50)*$A19/50%)</f>
        <v>248480.00000000006</v>
      </c>
      <c r="F19" s="43">
        <f>IF($A19=50%,CEILING(MROUND(MROUND('AMI &amp; Rent'!$A$5*50%,50)*$A19/50%,50)*F$2,50),CEILING(MROUND('AMI &amp; Rent'!$A$5*50%,50)*F$2,50)*$A19/50%)</f>
        <v>268480.00000000006</v>
      </c>
      <c r="G19" s="43">
        <f>IF($A19=50%,CEILING(MROUND(MROUND('AMI &amp; Rent'!$A$5*50%,50)*$A19/50%,50)*G$2,50),CEILING(MROUND('AMI &amp; Rent'!$A$5*50%,50)*G$2,50)*$A19/50%)</f>
        <v>288320.00000000006</v>
      </c>
      <c r="H19" s="43">
        <f>IF($A19=50%,CEILING(MROUND(MROUND('AMI &amp; Rent'!$A$5*50%,50)*$A19/50%,50)*H$2,50),CEILING(MROUND('AMI &amp; Rent'!$A$5*50%,50)*H$2,50)*$A19/50%)</f>
        <v>308160.00000000006</v>
      </c>
      <c r="I19" s="43">
        <f>IF($A19=50%,CEILING(MROUND(MROUND('AMI &amp; Rent'!$A$5*50%,50)*$A19/50%,50)*I$2,50),CEILING(MROUND('AMI &amp; Rent'!$A$5*50%,50)*I$2,50)*$A19/50%)</f>
        <v>328000.00000000006</v>
      </c>
      <c r="K19" s="48"/>
      <c r="L19" s="48"/>
      <c r="M19" s="48"/>
      <c r="N19" s="48"/>
      <c r="O19" s="48"/>
      <c r="P19" s="48"/>
      <c r="Q19" s="48"/>
      <c r="R19" s="48"/>
      <c r="T19" s="50"/>
      <c r="U19" s="50"/>
      <c r="V19" s="50"/>
      <c r="W19" s="50"/>
      <c r="X19" s="50"/>
      <c r="Y19" s="50"/>
      <c r="Z19" s="50"/>
      <c r="AA19" s="50"/>
    </row>
    <row r="20" spans="1:27" ht="15.75" x14ac:dyDescent="0.25">
      <c r="A20" s="40">
        <f t="shared" si="1"/>
        <v>1.7000000000000004</v>
      </c>
      <c r="B20" s="41">
        <f>IF($A20=50%,CEILING(MROUND(MROUND('AMI &amp; Rent'!$A$5*50%,50)*$A20/50%,50)*B$2,50),CEILING(MROUND('AMI &amp; Rent'!$A$5*50%,50)*B$2,50)*$A20/50%)</f>
        <v>184960.00000000003</v>
      </c>
      <c r="C20" s="41">
        <f>IF($A20=50%,CEILING(MROUND(MROUND('AMI &amp; Rent'!$A$5*50%,50)*$A20/50%,50)*C$2,50),CEILING(MROUND('AMI &amp; Rent'!$A$5*50%,50)*C$2,50)*$A20/50%)</f>
        <v>211310.00000000006</v>
      </c>
      <c r="D20" s="41">
        <f>IF($A20=50%,CEILING(MROUND(MROUND('AMI &amp; Rent'!$A$5*50%,50)*$A20/50%,50)*D$2,50),CEILING(MROUND('AMI &amp; Rent'!$A$5*50%,50)*D$2,50)*$A20/50%)</f>
        <v>237660.00000000006</v>
      </c>
      <c r="E20" s="41">
        <f>IF($A20=50%,CEILING(MROUND(MROUND('AMI &amp; Rent'!$A$5*50%,50)*$A20/50%,50)*E$2,50),CEILING(MROUND('AMI &amp; Rent'!$A$5*50%,50)*E$2,50)*$A20/50%)</f>
        <v>264010.00000000006</v>
      </c>
      <c r="F20" s="41">
        <f>IF($A20=50%,CEILING(MROUND(MROUND('AMI &amp; Rent'!$A$5*50%,50)*$A20/50%,50)*F$2,50),CEILING(MROUND('AMI &amp; Rent'!$A$5*50%,50)*F$2,50)*$A20/50%)</f>
        <v>285260.00000000006</v>
      </c>
      <c r="G20" s="41">
        <f>IF($A20=50%,CEILING(MROUND(MROUND('AMI &amp; Rent'!$A$5*50%,50)*$A20/50%,50)*G$2,50),CEILING(MROUND('AMI &amp; Rent'!$A$5*50%,50)*G$2,50)*$A20/50%)</f>
        <v>306340.00000000006</v>
      </c>
      <c r="H20" s="41">
        <f>IF($A20=50%,CEILING(MROUND(MROUND('AMI &amp; Rent'!$A$5*50%,50)*$A20/50%,50)*H$2,50),CEILING(MROUND('AMI &amp; Rent'!$A$5*50%,50)*H$2,50)*$A20/50%)</f>
        <v>327420.00000000006</v>
      </c>
      <c r="I20" s="41">
        <f>IF($A20=50%,CEILING(MROUND(MROUND('AMI &amp; Rent'!$A$5*50%,50)*$A20/50%,50)*I$2,50),CEILING(MROUND('AMI &amp; Rent'!$A$5*50%,50)*I$2,50)*$A20/50%)</f>
        <v>348500.00000000006</v>
      </c>
      <c r="K20" s="48"/>
      <c r="L20" s="48"/>
      <c r="M20" s="48"/>
      <c r="N20" s="48"/>
      <c r="O20" s="48"/>
      <c r="P20" s="48"/>
      <c r="Q20" s="48"/>
      <c r="R20" s="48"/>
      <c r="T20" s="50"/>
      <c r="U20" s="50"/>
      <c r="V20" s="50"/>
      <c r="W20" s="50"/>
      <c r="X20" s="50"/>
      <c r="Y20" s="50"/>
      <c r="Z20" s="50"/>
      <c r="AA20" s="50"/>
    </row>
    <row r="21" spans="1:27" ht="15.75" x14ac:dyDescent="0.25">
      <c r="A21" s="42">
        <f t="shared" si="1"/>
        <v>1.8000000000000005</v>
      </c>
      <c r="B21" s="43">
        <f>IF($A21=50%,CEILING(MROUND(MROUND('AMI &amp; Rent'!$A$5*50%,50)*$A21/50%,50)*B$2,50),CEILING(MROUND('AMI &amp; Rent'!$A$5*50%,50)*B$2,50)*$A21/50%)</f>
        <v>195840.00000000006</v>
      </c>
      <c r="C21" s="43">
        <f>IF($A21=50%,CEILING(MROUND(MROUND('AMI &amp; Rent'!$A$5*50%,50)*$A21/50%,50)*C$2,50),CEILING(MROUND('AMI &amp; Rent'!$A$5*50%,50)*C$2,50)*$A21/50%)</f>
        <v>223740.00000000006</v>
      </c>
      <c r="D21" s="43">
        <f>IF($A21=50%,CEILING(MROUND(MROUND('AMI &amp; Rent'!$A$5*50%,50)*$A21/50%,50)*D$2,50),CEILING(MROUND('AMI &amp; Rent'!$A$5*50%,50)*D$2,50)*$A21/50%)</f>
        <v>251640.00000000006</v>
      </c>
      <c r="E21" s="43">
        <f>IF($A21=50%,CEILING(MROUND(MROUND('AMI &amp; Rent'!$A$5*50%,50)*$A21/50%,50)*E$2,50),CEILING(MROUND('AMI &amp; Rent'!$A$5*50%,50)*E$2,50)*$A21/50%)</f>
        <v>279540.00000000006</v>
      </c>
      <c r="F21" s="43">
        <f>IF($A21=50%,CEILING(MROUND(MROUND('AMI &amp; Rent'!$A$5*50%,50)*$A21/50%,50)*F$2,50),CEILING(MROUND('AMI &amp; Rent'!$A$5*50%,50)*F$2,50)*$A21/50%)</f>
        <v>302040.00000000006</v>
      </c>
      <c r="G21" s="43">
        <f>IF($A21=50%,CEILING(MROUND(MROUND('AMI &amp; Rent'!$A$5*50%,50)*$A21/50%,50)*G$2,50),CEILING(MROUND('AMI &amp; Rent'!$A$5*50%,50)*G$2,50)*$A21/50%)</f>
        <v>324360.00000000012</v>
      </c>
      <c r="H21" s="43">
        <f>IF($A21=50%,CEILING(MROUND(MROUND('AMI &amp; Rent'!$A$5*50%,50)*$A21/50%,50)*H$2,50),CEILING(MROUND('AMI &amp; Rent'!$A$5*50%,50)*H$2,50)*$A21/50%)</f>
        <v>346680.00000000012</v>
      </c>
      <c r="I21" s="43">
        <f>IF($A21=50%,CEILING(MROUND(MROUND('AMI &amp; Rent'!$A$5*50%,50)*$A21/50%,50)*I$2,50),CEILING(MROUND('AMI &amp; Rent'!$A$5*50%,50)*I$2,50)*$A21/50%)</f>
        <v>369000.00000000012</v>
      </c>
      <c r="K21" s="48"/>
      <c r="L21" s="48"/>
      <c r="M21" s="48"/>
      <c r="N21" s="48"/>
      <c r="O21" s="48"/>
      <c r="P21" s="48"/>
      <c r="Q21" s="48"/>
      <c r="R21" s="48"/>
      <c r="T21" s="50"/>
      <c r="U21" s="50"/>
      <c r="V21" s="50"/>
      <c r="W21" s="50"/>
      <c r="X21" s="50"/>
      <c r="Y21" s="50"/>
      <c r="Z21" s="50"/>
      <c r="AA21" s="50"/>
    </row>
    <row r="22" spans="1:27" ht="15.75" x14ac:dyDescent="0.25">
      <c r="A22" s="40">
        <f t="shared" si="1"/>
        <v>1.9000000000000006</v>
      </c>
      <c r="B22" s="41">
        <f>IF($A22=50%,CEILING(MROUND(MROUND('AMI &amp; Rent'!$A$5*50%,50)*$A22/50%,50)*B$2,50),CEILING(MROUND('AMI &amp; Rent'!$A$5*50%,50)*B$2,50)*$A22/50%)</f>
        <v>206720.00000000006</v>
      </c>
      <c r="C22" s="41">
        <f>IF($A22=50%,CEILING(MROUND(MROUND('AMI &amp; Rent'!$A$5*50%,50)*$A22/50%,50)*C$2,50),CEILING(MROUND('AMI &amp; Rent'!$A$5*50%,50)*C$2,50)*$A22/50%)</f>
        <v>236170.00000000006</v>
      </c>
      <c r="D22" s="41">
        <f>IF($A22=50%,CEILING(MROUND(MROUND('AMI &amp; Rent'!$A$5*50%,50)*$A22/50%,50)*D$2,50),CEILING(MROUND('AMI &amp; Rent'!$A$5*50%,50)*D$2,50)*$A22/50%)</f>
        <v>265620.00000000006</v>
      </c>
      <c r="E22" s="41">
        <f>IF($A22=50%,CEILING(MROUND(MROUND('AMI &amp; Rent'!$A$5*50%,50)*$A22/50%,50)*E$2,50),CEILING(MROUND('AMI &amp; Rent'!$A$5*50%,50)*E$2,50)*$A22/50%)</f>
        <v>295070.00000000012</v>
      </c>
      <c r="F22" s="41">
        <f>IF($A22=50%,CEILING(MROUND(MROUND('AMI &amp; Rent'!$A$5*50%,50)*$A22/50%,50)*F$2,50),CEILING(MROUND('AMI &amp; Rent'!$A$5*50%,50)*F$2,50)*$A22/50%)</f>
        <v>318820.00000000012</v>
      </c>
      <c r="G22" s="41">
        <f>IF($A22=50%,CEILING(MROUND(MROUND('AMI &amp; Rent'!$A$5*50%,50)*$A22/50%,50)*G$2,50),CEILING(MROUND('AMI &amp; Rent'!$A$5*50%,50)*G$2,50)*$A22/50%)</f>
        <v>342380.00000000012</v>
      </c>
      <c r="H22" s="41">
        <f>IF($A22=50%,CEILING(MROUND(MROUND('AMI &amp; Rent'!$A$5*50%,50)*$A22/50%,50)*H$2,50),CEILING(MROUND('AMI &amp; Rent'!$A$5*50%,50)*H$2,50)*$A22/50%)</f>
        <v>365940.00000000012</v>
      </c>
      <c r="I22" s="41">
        <f>IF($A22=50%,CEILING(MROUND(MROUND('AMI &amp; Rent'!$A$5*50%,50)*$A22/50%,50)*I$2,50),CEILING(MROUND('AMI &amp; Rent'!$A$5*50%,50)*I$2,50)*$A22/50%)</f>
        <v>389500.00000000012</v>
      </c>
      <c r="K22" s="48"/>
      <c r="L22" s="48"/>
      <c r="M22" s="48"/>
      <c r="N22" s="48"/>
      <c r="O22" s="48"/>
      <c r="P22" s="48"/>
      <c r="Q22" s="48"/>
      <c r="R22" s="48"/>
      <c r="T22" s="50"/>
      <c r="U22" s="50"/>
      <c r="V22" s="50"/>
      <c r="W22" s="50"/>
      <c r="X22" s="50"/>
      <c r="Y22" s="50"/>
      <c r="Z22" s="50"/>
      <c r="AA22" s="50"/>
    </row>
    <row r="23" spans="1:27" ht="15.75" x14ac:dyDescent="0.25">
      <c r="A23" s="42">
        <f t="shared" si="1"/>
        <v>2.0000000000000004</v>
      </c>
      <c r="B23" s="49">
        <f>IF($A23=50%,CEILING(MROUND(MROUND('AMI &amp; Rent'!$A$5*50%,50)*$A23/50%,50)*B$2,50),CEILING(MROUND('AMI &amp; Rent'!$A$5*50%,50)*B$2,50)*$A23/50%)</f>
        <v>217600.00000000006</v>
      </c>
      <c r="C23" s="49">
        <f>IF($A23=50%,CEILING(MROUND(MROUND('AMI &amp; Rent'!$A$5*50%,50)*$A23/50%,50)*C$2,50),CEILING(MROUND('AMI &amp; Rent'!$A$5*50%,50)*C$2,50)*$A23/50%)</f>
        <v>248600.00000000006</v>
      </c>
      <c r="D23" s="49">
        <f>IF($A23=50%,CEILING(MROUND(MROUND('AMI &amp; Rent'!$A$5*50%,50)*$A23/50%,50)*D$2,50),CEILING(MROUND('AMI &amp; Rent'!$A$5*50%,50)*D$2,50)*$A23/50%)</f>
        <v>279600.00000000006</v>
      </c>
      <c r="E23" s="49">
        <f>IF($A23=50%,CEILING(MROUND(MROUND('AMI &amp; Rent'!$A$5*50%,50)*$A23/50%,50)*E$2,50),CEILING(MROUND('AMI &amp; Rent'!$A$5*50%,50)*E$2,50)*$A23/50%)</f>
        <v>310600.00000000006</v>
      </c>
      <c r="F23" s="49">
        <f>IF($A23=50%,CEILING(MROUND(MROUND('AMI &amp; Rent'!$A$5*50%,50)*$A23/50%,50)*F$2,50),CEILING(MROUND('AMI &amp; Rent'!$A$5*50%,50)*F$2,50)*$A23/50%)</f>
        <v>335600.00000000006</v>
      </c>
      <c r="G23" s="49">
        <f>IF($A23=50%,CEILING(MROUND(MROUND('AMI &amp; Rent'!$A$5*50%,50)*$A23/50%,50)*G$2,50),CEILING(MROUND('AMI &amp; Rent'!$A$5*50%,50)*G$2,50)*$A23/50%)</f>
        <v>360400.00000000006</v>
      </c>
      <c r="H23" s="49">
        <f>IF($A23=50%,CEILING(MROUND(MROUND('AMI &amp; Rent'!$A$5*50%,50)*$A23/50%,50)*H$2,50),CEILING(MROUND('AMI &amp; Rent'!$A$5*50%,50)*H$2,50)*$A23/50%)</f>
        <v>385200.00000000006</v>
      </c>
      <c r="I23" s="49">
        <f>IF($A23=50%,CEILING(MROUND(MROUND('AMI &amp; Rent'!$A$5*50%,50)*$A23/50%,50)*I$2,50),CEILING(MROUND('AMI &amp; Rent'!$A$5*50%,50)*I$2,50)*$A23/50%)</f>
        <v>410000.00000000012</v>
      </c>
      <c r="K23" s="48"/>
      <c r="L23" s="48"/>
      <c r="M23" s="48"/>
      <c r="N23" s="48"/>
      <c r="O23" s="48"/>
      <c r="P23" s="48"/>
      <c r="Q23" s="48"/>
      <c r="R23" s="48"/>
      <c r="T23" s="50"/>
      <c r="U23" s="50"/>
      <c r="V23" s="50"/>
      <c r="W23" s="50"/>
      <c r="X23" s="50"/>
      <c r="Y23" s="50"/>
      <c r="Z23" s="50"/>
      <c r="AA23" s="50"/>
    </row>
    <row r="24" spans="1:27" ht="15.75" x14ac:dyDescent="0.25">
      <c r="A24" s="40">
        <f t="shared" si="1"/>
        <v>2.1000000000000005</v>
      </c>
      <c r="B24" s="41">
        <f>IF($A24=50%,CEILING(MROUND(MROUND('AMI &amp; Rent'!$A$5*50%,50)*$A24/50%,50)*B$2,50),CEILING(MROUND('AMI &amp; Rent'!$A$5*50%,50)*B$2,50)*$A24/50%)</f>
        <v>228480.00000000006</v>
      </c>
      <c r="C24" s="41">
        <f>IF($A24=50%,CEILING(MROUND(MROUND('AMI &amp; Rent'!$A$5*50%,50)*$A24/50%,50)*C$2,50),CEILING(MROUND('AMI &amp; Rent'!$A$5*50%,50)*C$2,50)*$A24/50%)</f>
        <v>261030.00000000006</v>
      </c>
      <c r="D24" s="41">
        <f>IF($A24=50%,CEILING(MROUND(MROUND('AMI &amp; Rent'!$A$5*50%,50)*$A24/50%,50)*D$2,50),CEILING(MROUND('AMI &amp; Rent'!$A$5*50%,50)*D$2,50)*$A24/50%)</f>
        <v>293580.00000000006</v>
      </c>
      <c r="E24" s="41">
        <f>IF($A24=50%,CEILING(MROUND(MROUND('AMI &amp; Rent'!$A$5*50%,50)*$A24/50%,50)*E$2,50),CEILING(MROUND('AMI &amp; Rent'!$A$5*50%,50)*E$2,50)*$A24/50%)</f>
        <v>326130.00000000006</v>
      </c>
      <c r="F24" s="41">
        <f>IF($A24=50%,CEILING(MROUND(MROUND('AMI &amp; Rent'!$A$5*50%,50)*$A24/50%,50)*F$2,50),CEILING(MROUND('AMI &amp; Rent'!$A$5*50%,50)*F$2,50)*$A24/50%)</f>
        <v>352380.00000000012</v>
      </c>
      <c r="G24" s="41">
        <f>IF($A24=50%,CEILING(MROUND(MROUND('AMI &amp; Rent'!$A$5*50%,50)*$A24/50%,50)*G$2,50),CEILING(MROUND('AMI &amp; Rent'!$A$5*50%,50)*G$2,50)*$A24/50%)</f>
        <v>378420.00000000012</v>
      </c>
      <c r="H24" s="41">
        <f>IF($A24=50%,CEILING(MROUND(MROUND('AMI &amp; Rent'!$A$5*50%,50)*$A24/50%,50)*H$2,50),CEILING(MROUND('AMI &amp; Rent'!$A$5*50%,50)*H$2,50)*$A24/50%)</f>
        <v>404460.00000000012</v>
      </c>
      <c r="I24" s="41">
        <f>IF($A24=50%,CEILING(MROUND(MROUND('AMI &amp; Rent'!$A$5*50%,50)*$A24/50%,50)*I$2,50),CEILING(MROUND('AMI &amp; Rent'!$A$5*50%,50)*I$2,50)*$A24/50%)</f>
        <v>430500.00000000012</v>
      </c>
      <c r="K24" s="48"/>
      <c r="L24" s="48"/>
      <c r="M24" s="48"/>
      <c r="N24" s="48"/>
      <c r="O24" s="48"/>
      <c r="P24" s="48"/>
      <c r="Q24" s="48"/>
      <c r="R24" s="48"/>
      <c r="T24" s="50"/>
      <c r="U24" s="50"/>
      <c r="V24" s="50"/>
      <c r="W24" s="50"/>
      <c r="X24" s="50"/>
      <c r="Y24" s="50"/>
      <c r="Z24" s="50"/>
      <c r="AA24" s="50"/>
    </row>
    <row r="25" spans="1:27" ht="15.75" x14ac:dyDescent="0.25">
      <c r="A25" s="42">
        <f t="shared" si="1"/>
        <v>2.2000000000000006</v>
      </c>
      <c r="B25" s="49">
        <f>IF($A25=50%,CEILING(MROUND(MROUND('AMI &amp; Rent'!$A$5*50%,50)*$A25/50%,50)*B$2,50),CEILING(MROUND('AMI &amp; Rent'!$A$5*50%,50)*B$2,50)*$A25/50%)</f>
        <v>239360.00000000006</v>
      </c>
      <c r="C25" s="49">
        <f>IF($A25=50%,CEILING(MROUND(MROUND('AMI &amp; Rent'!$A$5*50%,50)*$A25/50%,50)*C$2,50),CEILING(MROUND('AMI &amp; Rent'!$A$5*50%,50)*C$2,50)*$A25/50%)</f>
        <v>273460.00000000006</v>
      </c>
      <c r="D25" s="49">
        <f>IF($A25=50%,CEILING(MROUND(MROUND('AMI &amp; Rent'!$A$5*50%,50)*$A25/50%,50)*D$2,50),CEILING(MROUND('AMI &amp; Rent'!$A$5*50%,50)*D$2,50)*$A25/50%)</f>
        <v>307560.00000000006</v>
      </c>
      <c r="E25" s="49">
        <f>IF($A25=50%,CEILING(MROUND(MROUND('AMI &amp; Rent'!$A$5*50%,50)*$A25/50%,50)*E$2,50),CEILING(MROUND('AMI &amp; Rent'!$A$5*50%,50)*E$2,50)*$A25/50%)</f>
        <v>341660.00000000012</v>
      </c>
      <c r="F25" s="49">
        <f>IF($A25=50%,CEILING(MROUND(MROUND('AMI &amp; Rent'!$A$5*50%,50)*$A25/50%,50)*F$2,50),CEILING(MROUND('AMI &amp; Rent'!$A$5*50%,50)*F$2,50)*$A25/50%)</f>
        <v>369160.00000000012</v>
      </c>
      <c r="G25" s="49">
        <f>IF($A25=50%,CEILING(MROUND(MROUND('AMI &amp; Rent'!$A$5*50%,50)*$A25/50%,50)*G$2,50),CEILING(MROUND('AMI &amp; Rent'!$A$5*50%,50)*G$2,50)*$A25/50%)</f>
        <v>396440.00000000012</v>
      </c>
      <c r="H25" s="49">
        <f>IF($A25=50%,CEILING(MROUND(MROUND('AMI &amp; Rent'!$A$5*50%,50)*$A25/50%,50)*H$2,50),CEILING(MROUND('AMI &amp; Rent'!$A$5*50%,50)*H$2,50)*$A25/50%)</f>
        <v>423720.00000000012</v>
      </c>
      <c r="I25" s="49">
        <f>IF($A25=50%,CEILING(MROUND(MROUND('AMI &amp; Rent'!$A$5*50%,50)*$A25/50%,50)*I$2,50),CEILING(MROUND('AMI &amp; Rent'!$A$5*50%,50)*I$2,50)*$A25/50%)</f>
        <v>451000.00000000012</v>
      </c>
      <c r="K25" s="48"/>
      <c r="L25" s="48"/>
      <c r="M25" s="48"/>
      <c r="N25" s="48"/>
      <c r="O25" s="48"/>
      <c r="P25" s="48"/>
      <c r="Q25" s="48"/>
      <c r="R25" s="48"/>
      <c r="T25" s="50"/>
      <c r="U25" s="50"/>
      <c r="V25" s="50"/>
      <c r="W25" s="50"/>
      <c r="X25" s="50"/>
      <c r="Y25" s="50"/>
      <c r="Z25" s="50"/>
      <c r="AA25" s="50"/>
    </row>
    <row r="26" spans="1:27" ht="15.75" x14ac:dyDescent="0.25">
      <c r="A26" s="40">
        <f t="shared" si="1"/>
        <v>2.3000000000000007</v>
      </c>
      <c r="B26" s="41">
        <f>IF($A26=50%,CEILING(MROUND(MROUND('AMI &amp; Rent'!$A$5*50%,50)*$A26/50%,50)*B$2,50),CEILING(MROUND('AMI &amp; Rent'!$A$5*50%,50)*B$2,50)*$A26/50%)</f>
        <v>250240.00000000009</v>
      </c>
      <c r="C26" s="41">
        <f>IF($A26=50%,CEILING(MROUND(MROUND('AMI &amp; Rent'!$A$5*50%,50)*$A26/50%,50)*C$2,50),CEILING(MROUND('AMI &amp; Rent'!$A$5*50%,50)*C$2,50)*$A26/50%)</f>
        <v>285890.00000000012</v>
      </c>
      <c r="D26" s="41">
        <f>IF($A26=50%,CEILING(MROUND(MROUND('AMI &amp; Rent'!$A$5*50%,50)*$A26/50%,50)*D$2,50),CEILING(MROUND('AMI &amp; Rent'!$A$5*50%,50)*D$2,50)*$A26/50%)</f>
        <v>321540.00000000012</v>
      </c>
      <c r="E26" s="41">
        <f>IF($A26=50%,CEILING(MROUND(MROUND('AMI &amp; Rent'!$A$5*50%,50)*$A26/50%,50)*E$2,50),CEILING(MROUND('AMI &amp; Rent'!$A$5*50%,50)*E$2,50)*$A26/50%)</f>
        <v>357190.00000000012</v>
      </c>
      <c r="F26" s="41">
        <f>IF($A26=50%,CEILING(MROUND(MROUND('AMI &amp; Rent'!$A$5*50%,50)*$A26/50%,50)*F$2,50),CEILING(MROUND('AMI &amp; Rent'!$A$5*50%,50)*F$2,50)*$A26/50%)</f>
        <v>385940.00000000012</v>
      </c>
      <c r="G26" s="41">
        <f>IF($A26=50%,CEILING(MROUND(MROUND('AMI &amp; Rent'!$A$5*50%,50)*$A26/50%,50)*G$2,50),CEILING(MROUND('AMI &amp; Rent'!$A$5*50%,50)*G$2,50)*$A26/50%)</f>
        <v>414460.00000000012</v>
      </c>
      <c r="H26" s="41">
        <f>IF($A26=50%,CEILING(MROUND(MROUND('AMI &amp; Rent'!$A$5*50%,50)*$A26/50%,50)*H$2,50),CEILING(MROUND('AMI &amp; Rent'!$A$5*50%,50)*H$2,50)*$A26/50%)</f>
        <v>442980.00000000012</v>
      </c>
      <c r="I26" s="41">
        <f>IF($A26=50%,CEILING(MROUND(MROUND('AMI &amp; Rent'!$A$5*50%,50)*$A26/50%,50)*I$2,50),CEILING(MROUND('AMI &amp; Rent'!$A$5*50%,50)*I$2,50)*$A26/50%)</f>
        <v>471500.00000000017</v>
      </c>
      <c r="K26" s="48"/>
      <c r="L26" s="48"/>
      <c r="M26" s="48"/>
      <c r="N26" s="48"/>
      <c r="O26" s="48"/>
      <c r="P26" s="48"/>
      <c r="Q26" s="48"/>
      <c r="R26" s="48"/>
      <c r="T26" s="50"/>
      <c r="U26" s="50"/>
      <c r="V26" s="50"/>
      <c r="W26" s="50"/>
      <c r="X26" s="50"/>
      <c r="Y26" s="50"/>
      <c r="Z26" s="50"/>
      <c r="AA26" s="50"/>
    </row>
    <row r="27" spans="1:27" ht="15.75" x14ac:dyDescent="0.25">
      <c r="A27" s="42">
        <f t="shared" si="1"/>
        <v>2.4000000000000008</v>
      </c>
      <c r="B27" s="49">
        <f>IF($A27=50%,CEILING(MROUND(MROUND('AMI &amp; Rent'!$A$5*50%,50)*$A27/50%,50)*B$2,50),CEILING(MROUND('AMI &amp; Rent'!$A$5*50%,50)*B$2,50)*$A27/50%)</f>
        <v>261120.00000000009</v>
      </c>
      <c r="C27" s="49">
        <f>IF($A27=50%,CEILING(MROUND(MROUND('AMI &amp; Rent'!$A$5*50%,50)*$A27/50%,50)*C$2,50),CEILING(MROUND('AMI &amp; Rent'!$A$5*50%,50)*C$2,50)*$A27/50%)</f>
        <v>298320.00000000012</v>
      </c>
      <c r="D27" s="49">
        <f>IF($A27=50%,CEILING(MROUND(MROUND('AMI &amp; Rent'!$A$5*50%,50)*$A27/50%,50)*D$2,50),CEILING(MROUND('AMI &amp; Rent'!$A$5*50%,50)*D$2,50)*$A27/50%)</f>
        <v>335520.00000000012</v>
      </c>
      <c r="E27" s="49">
        <f>IF($A27=50%,CEILING(MROUND(MROUND('AMI &amp; Rent'!$A$5*50%,50)*$A27/50%,50)*E$2,50),CEILING(MROUND('AMI &amp; Rent'!$A$5*50%,50)*E$2,50)*$A27/50%)</f>
        <v>372720.00000000012</v>
      </c>
      <c r="F27" s="49">
        <f>IF($A27=50%,CEILING(MROUND(MROUND('AMI &amp; Rent'!$A$5*50%,50)*$A27/50%,50)*F$2,50),CEILING(MROUND('AMI &amp; Rent'!$A$5*50%,50)*F$2,50)*$A27/50%)</f>
        <v>402720.00000000012</v>
      </c>
      <c r="G27" s="49">
        <f>IF($A27=50%,CEILING(MROUND(MROUND('AMI &amp; Rent'!$A$5*50%,50)*$A27/50%,50)*G$2,50),CEILING(MROUND('AMI &amp; Rent'!$A$5*50%,50)*G$2,50)*$A27/50%)</f>
        <v>432480.00000000012</v>
      </c>
      <c r="H27" s="49">
        <f>IF($A27=50%,CEILING(MROUND(MROUND('AMI &amp; Rent'!$A$5*50%,50)*$A27/50%,50)*H$2,50),CEILING(MROUND('AMI &amp; Rent'!$A$5*50%,50)*H$2,50)*$A27/50%)</f>
        <v>462240.00000000017</v>
      </c>
      <c r="I27" s="49">
        <f>IF($A27=50%,CEILING(MROUND(MROUND('AMI &amp; Rent'!$A$5*50%,50)*$A27/50%,50)*I$2,50),CEILING(MROUND('AMI &amp; Rent'!$A$5*50%,50)*I$2,50)*$A27/50%)</f>
        <v>492000.00000000017</v>
      </c>
      <c r="K27" s="48"/>
      <c r="L27" s="48"/>
      <c r="M27" s="48"/>
      <c r="N27" s="48"/>
      <c r="O27" s="48"/>
      <c r="P27" s="48"/>
      <c r="Q27" s="48"/>
      <c r="R27" s="48"/>
      <c r="T27" s="50"/>
      <c r="U27" s="50"/>
      <c r="V27" s="50"/>
      <c r="W27" s="50"/>
      <c r="X27" s="50"/>
      <c r="Y27" s="50"/>
      <c r="Z27" s="50"/>
      <c r="AA27" s="50"/>
    </row>
    <row r="28" spans="1:27" ht="16.5" thickBot="1" x14ac:dyDescent="0.3">
      <c r="A28" s="45">
        <f t="shared" si="1"/>
        <v>2.5000000000000009</v>
      </c>
      <c r="B28" s="46">
        <f>IF($A28=50%,CEILING(MROUND(MROUND('AMI &amp; Rent'!$A$5*50%,50)*$A28/50%,50)*B$2,50),CEILING(MROUND('AMI &amp; Rent'!$A$5*50%,50)*B$2,50)*$A28/50%)</f>
        <v>272000.00000000012</v>
      </c>
      <c r="C28" s="46">
        <f>IF($A28=50%,CEILING(MROUND(MROUND('AMI &amp; Rent'!$A$5*50%,50)*$A28/50%,50)*C$2,50),CEILING(MROUND('AMI &amp; Rent'!$A$5*50%,50)*C$2,50)*$A28/50%)</f>
        <v>310750.00000000012</v>
      </c>
      <c r="D28" s="46">
        <f>IF($A28=50%,CEILING(MROUND(MROUND('AMI &amp; Rent'!$A$5*50%,50)*$A28/50%,50)*D$2,50),CEILING(MROUND('AMI &amp; Rent'!$A$5*50%,50)*D$2,50)*$A28/50%)</f>
        <v>349500.00000000012</v>
      </c>
      <c r="E28" s="46">
        <f>IF($A28=50%,CEILING(MROUND(MROUND('AMI &amp; Rent'!$A$5*50%,50)*$A28/50%,50)*E$2,50),CEILING(MROUND('AMI &amp; Rent'!$A$5*50%,50)*E$2,50)*$A28/50%)</f>
        <v>388250.00000000012</v>
      </c>
      <c r="F28" s="46">
        <f>IF($A28=50%,CEILING(MROUND(MROUND('AMI &amp; Rent'!$A$5*50%,50)*$A28/50%,50)*F$2,50),CEILING(MROUND('AMI &amp; Rent'!$A$5*50%,50)*F$2,50)*$A28/50%)</f>
        <v>419500.00000000017</v>
      </c>
      <c r="G28" s="46">
        <f>IF($A28=50%,CEILING(MROUND(MROUND('AMI &amp; Rent'!$A$5*50%,50)*$A28/50%,50)*G$2,50),CEILING(MROUND('AMI &amp; Rent'!$A$5*50%,50)*G$2,50)*$A28/50%)</f>
        <v>450500.00000000017</v>
      </c>
      <c r="H28" s="46">
        <f>IF($A28=50%,CEILING(MROUND(MROUND('AMI &amp; Rent'!$A$5*50%,50)*$A28/50%,50)*H$2,50),CEILING(MROUND('AMI &amp; Rent'!$A$5*50%,50)*H$2,50)*$A28/50%)</f>
        <v>481500.00000000017</v>
      </c>
      <c r="I28" s="46">
        <f>IF($A28=50%,CEILING(MROUND(MROUND('AMI &amp; Rent'!$A$5*50%,50)*$A28/50%,50)*I$2,50),CEILING(MROUND('AMI &amp; Rent'!$A$5*50%,50)*I$2,50)*$A28/50%)</f>
        <v>512500.00000000017</v>
      </c>
      <c r="K28" s="48"/>
      <c r="L28" s="48"/>
      <c r="M28" s="48"/>
      <c r="N28" s="48"/>
      <c r="O28" s="48"/>
      <c r="P28" s="48"/>
      <c r="Q28" s="48"/>
      <c r="R28" s="48"/>
      <c r="T28" s="50"/>
      <c r="U28" s="50"/>
      <c r="V28" s="50"/>
      <c r="W28" s="50"/>
      <c r="X28" s="50"/>
      <c r="Y28" s="50"/>
      <c r="Z28" s="50"/>
      <c r="AA28" s="50"/>
    </row>
    <row r="29" spans="1:27" x14ac:dyDescent="0.2">
      <c r="A29" s="44"/>
    </row>
    <row r="30" spans="1:27" x14ac:dyDescent="0.2">
      <c r="A30" s="2"/>
      <c r="I30" s="35"/>
    </row>
    <row r="31" spans="1:27" x14ac:dyDescent="0.2">
      <c r="A31" s="44"/>
    </row>
    <row r="32" spans="1:27" x14ac:dyDescent="0.2">
      <c r="A32" s="44"/>
    </row>
    <row r="33" spans="1:18" ht="15.75" x14ac:dyDescent="0.25">
      <c r="A33" s="44"/>
      <c r="K33" s="48"/>
      <c r="L33" s="48"/>
      <c r="M33" s="48"/>
      <c r="N33" s="48"/>
      <c r="O33" s="48"/>
      <c r="P33" s="48"/>
      <c r="Q33" s="48"/>
      <c r="R33" s="48"/>
    </row>
    <row r="34" spans="1:18" ht="15.75" x14ac:dyDescent="0.25">
      <c r="A34" s="44"/>
      <c r="D34" s="51"/>
      <c r="E34" s="51"/>
      <c r="K34" s="48"/>
      <c r="L34" s="48"/>
      <c r="M34" s="48"/>
      <c r="N34" s="48"/>
      <c r="O34" s="48"/>
      <c r="P34" s="48"/>
      <c r="Q34" s="48"/>
      <c r="R34" s="48"/>
    </row>
    <row r="35" spans="1:18" ht="15.75" x14ac:dyDescent="0.25">
      <c r="A35" s="44"/>
      <c r="D35" s="51"/>
      <c r="E35" s="51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</row>
    <row r="36" spans="1:18" ht="15.75" x14ac:dyDescent="0.25">
      <c r="A36" s="44"/>
      <c r="D36" s="51"/>
      <c r="E36" s="51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</row>
    <row r="37" spans="1:18" ht="15.75" x14ac:dyDescent="0.25">
      <c r="A37" s="44"/>
      <c r="D37" s="51"/>
      <c r="E37" s="51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</row>
    <row r="38" spans="1:18" ht="15.75" x14ac:dyDescent="0.25">
      <c r="A38" s="44"/>
      <c r="D38" s="51"/>
      <c r="E38" s="51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</row>
    <row r="39" spans="1:18" ht="15.75" x14ac:dyDescent="0.25">
      <c r="A39" s="44"/>
      <c r="D39" s="51"/>
      <c r="E39" s="51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</row>
    <row r="40" spans="1:18" ht="15.75" x14ac:dyDescent="0.25">
      <c r="A40" s="44"/>
      <c r="D40" s="51"/>
      <c r="E40" s="51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</row>
    <row r="41" spans="1:18" ht="15.75" x14ac:dyDescent="0.25">
      <c r="A41" s="44"/>
      <c r="D41" s="51"/>
      <c r="E41" s="51"/>
      <c r="G41" s="48"/>
      <c r="H41" s="48"/>
      <c r="I41" s="48"/>
      <c r="J41" s="48"/>
      <c r="K41" s="48"/>
      <c r="L41" s="48"/>
      <c r="M41" s="48"/>
      <c r="N41" s="48"/>
    </row>
    <row r="42" spans="1:18" ht="15.75" x14ac:dyDescent="0.25">
      <c r="G42" s="48"/>
      <c r="H42" s="48"/>
      <c r="I42" s="48"/>
      <c r="J42" s="48"/>
      <c r="K42" s="48"/>
      <c r="L42" s="48"/>
      <c r="M42" s="48"/>
      <c r="N42" s="48"/>
    </row>
  </sheetData>
  <mergeCells count="1">
    <mergeCell ref="A1:I1"/>
  </mergeCells>
  <pageMargins left="0.7" right="0.7" top="0.75" bottom="0.75" header="0.3" footer="0.3"/>
  <pageSetup scale="80" orientation="portrait" r:id="rId1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b9c575-1ad1-48fe-90df-ed90d60f0614">
      <Terms xmlns="http://schemas.microsoft.com/office/infopath/2007/PartnerControls"/>
    </lcf76f155ced4ddcb4097134ff3c332f>
    <TaxCatchAll xmlns="e79d39f6-0de2-4784-9193-4d24666cb90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68F302491694683B87863A5DF64E8" ma:contentTypeVersion="12" ma:contentTypeDescription="Create a new document." ma:contentTypeScope="" ma:versionID="416ff11f756774c8f7695a89948baeea">
  <xsd:schema xmlns:xsd="http://www.w3.org/2001/XMLSchema" xmlns:xs="http://www.w3.org/2001/XMLSchema" xmlns:p="http://schemas.microsoft.com/office/2006/metadata/properties" xmlns:ns2="2bb9c575-1ad1-48fe-90df-ed90d60f0614" xmlns:ns3="e79d39f6-0de2-4784-9193-4d24666cb90a" targetNamespace="http://schemas.microsoft.com/office/2006/metadata/properties" ma:root="true" ma:fieldsID="e38300c425aa4017aae9f2a26536bde8" ns2:_="" ns3:_="">
    <xsd:import namespace="2bb9c575-1ad1-48fe-90df-ed90d60f0614"/>
    <xsd:import namespace="e79d39f6-0de2-4784-9193-4d24666cb9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b9c575-1ad1-48fe-90df-ed90d60f06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b4f074c-b2b8-450b-8d7f-e48a28ce4c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9d39f6-0de2-4784-9193-4d24666cb90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d3ac8d-025c-416f-a952-8a924096d68a}" ma:internalName="TaxCatchAll" ma:showField="CatchAllData" ma:web="e79d39f6-0de2-4784-9193-4d24666cb9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A99A16-9352-44F6-96F4-415DAEF7D8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3A1D33-16C6-4F45-B39F-030FACA1D8E3}">
  <ds:schemaRefs>
    <ds:schemaRef ds:uri="http://schemas.microsoft.com/office/2006/metadata/properties"/>
    <ds:schemaRef ds:uri="http://schemas.microsoft.com/office/infopath/2007/PartnerControls"/>
    <ds:schemaRef ds:uri="2bb9c575-1ad1-48fe-90df-ed90d60f0614"/>
    <ds:schemaRef ds:uri="e79d39f6-0de2-4784-9193-4d24666cb90a"/>
  </ds:schemaRefs>
</ds:datastoreItem>
</file>

<file path=customXml/itemProps3.xml><?xml version="1.0" encoding="utf-8"?>
<ds:datastoreItem xmlns:ds="http://schemas.openxmlformats.org/officeDocument/2006/customXml" ds:itemID="{AFEA0054-B5CA-4364-9D0B-0B7D1819EE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b9c575-1ad1-48fe-90df-ed90d60f0614"/>
    <ds:schemaRef ds:uri="e79d39f6-0de2-4784-9193-4d24666cb9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AMI &amp; Rent</vt:lpstr>
      <vt:lpstr>AMI_Table</vt:lpstr>
      <vt:lpstr>Feeder Tables</vt:lpstr>
      <vt:lpstr>AMI Table</vt:lpstr>
      <vt:lpstr>'AMI &amp; Rent'!Print_Area</vt:lpstr>
      <vt:lpstr>'AMI Table'!Print_Area</vt:lpstr>
      <vt:lpstr>AMI_Table!Print_Area</vt:lpstr>
      <vt:lpstr>ProjectType</vt:lpstr>
    </vt:vector>
  </TitlesOfParts>
  <Company>NYCHDC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jlee</dc:creator>
  <cp:lastModifiedBy>Risi Friedman</cp:lastModifiedBy>
  <cp:lastPrinted>2021-05-03T17:47:11Z</cp:lastPrinted>
  <dcterms:created xsi:type="dcterms:W3CDTF">2011-08-02T19:06:01Z</dcterms:created>
  <dcterms:modified xsi:type="dcterms:W3CDTF">2024-11-18T17:55:09Z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0x010100FED68F302491694683B87863A5DF64E8</vt:lpwstr>
  </property>
</Properties>
</file>